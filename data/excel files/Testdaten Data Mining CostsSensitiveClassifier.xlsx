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154642FABA6A83C6/Dokumente/"/>
    </mc:Choice>
  </mc:AlternateContent>
  <xr:revisionPtr revIDLastSave="0" documentId="8_{6510C2D8-72D9-4AE5-B2BF-E11060310DEC}" xr6:coauthVersionLast="47" xr6:coauthVersionMax="47" xr10:uidLastSave="{00000000-0000-0000-0000-000000000000}"/>
  <bookViews>
    <workbookView xWindow="-28920" yWindow="2610" windowWidth="29040" windowHeight="15720" firstSheet="1" activeTab="1" xr2:uid="{4565494B-C250-4CB7-B863-89117D3B556A}"/>
  </bookViews>
  <sheets>
    <sheet name="RandomForest_1.VErsuch" sheetId="2" state="hidden" r:id="rId1"/>
    <sheet name="Graphen + Legende" sheetId="12" r:id="rId2"/>
    <sheet name="(lena) RandomForest (10-CF)" sheetId="1" r:id="rId3"/>
    <sheet name="RandomForest (percentage split)" sheetId="10" state="hidden" r:id="rId4"/>
    <sheet name="(lena) j48 (10-CF)" sheetId="4" r:id="rId5"/>
    <sheet name="(Adriano) naivebayes (10-CF)" sheetId="5" r:id="rId6"/>
    <sheet name="(Marek) bayesnet (10-CF)" sheetId="6" r:id="rId7"/>
    <sheet name="(Adriano) oneR (10-CF)" sheetId="7" r:id="rId8"/>
    <sheet name="(Marek) functions.Logistic (10-" sheetId="3" r:id="rId9"/>
    <sheet name="functions.logistic (percentage)" sheetId="11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J15" i="7"/>
  <c r="I15" i="7"/>
  <c r="J3" i="7"/>
  <c r="J4" i="7"/>
  <c r="J5" i="7"/>
  <c r="J6" i="7"/>
  <c r="J7" i="7"/>
  <c r="J8" i="7"/>
  <c r="J9" i="7"/>
  <c r="J10" i="7"/>
  <c r="J11" i="7"/>
  <c r="J12" i="7"/>
  <c r="J13" i="7"/>
  <c r="J14" i="7"/>
  <c r="J16" i="7"/>
  <c r="J17" i="7"/>
  <c r="J18" i="7"/>
  <c r="J19" i="7"/>
  <c r="J20" i="7"/>
  <c r="J21" i="7"/>
  <c r="J22" i="7"/>
  <c r="J23" i="7"/>
  <c r="J24" i="7"/>
  <c r="I3" i="7"/>
  <c r="I4" i="7"/>
  <c r="I5" i="7"/>
  <c r="I6" i="7"/>
  <c r="I7" i="7"/>
  <c r="I8" i="7"/>
  <c r="I9" i="7"/>
  <c r="I10" i="7"/>
  <c r="I11" i="7"/>
  <c r="I12" i="7"/>
  <c r="I13" i="7"/>
  <c r="I14" i="7"/>
  <c r="I16" i="7"/>
  <c r="I17" i="7"/>
  <c r="I18" i="7"/>
  <c r="I19" i="7"/>
  <c r="I20" i="7"/>
  <c r="I21" i="7"/>
  <c r="I22" i="7"/>
  <c r="I23" i="7"/>
  <c r="I24" i="7"/>
  <c r="J2" i="7"/>
  <c r="I2" i="7"/>
  <c r="J2" i="5"/>
  <c r="I2" i="5"/>
  <c r="J30" i="4"/>
  <c r="J31" i="4"/>
  <c r="J32" i="4"/>
  <c r="J29" i="4"/>
  <c r="I30" i="4"/>
  <c r="I31" i="4"/>
  <c r="I32" i="4"/>
  <c r="K34" i="1"/>
  <c r="K35" i="1"/>
  <c r="K36" i="1"/>
  <c r="J34" i="1"/>
  <c r="J35" i="1"/>
  <c r="J36" i="1"/>
  <c r="J21" i="6"/>
  <c r="K21" i="6"/>
  <c r="J20" i="6"/>
  <c r="K20" i="6"/>
  <c r="J18" i="6"/>
  <c r="K18" i="6"/>
  <c r="J19" i="6"/>
  <c r="K19" i="6"/>
  <c r="J22" i="6"/>
  <c r="K22" i="6"/>
  <c r="J23" i="6"/>
  <c r="K23" i="6"/>
  <c r="J12" i="6"/>
  <c r="K12" i="6"/>
  <c r="J13" i="6"/>
  <c r="K13" i="6"/>
  <c r="J14" i="6"/>
  <c r="K14" i="6"/>
  <c r="J15" i="6"/>
  <c r="K15" i="6"/>
  <c r="J16" i="6"/>
  <c r="K16" i="6"/>
  <c r="J11" i="6"/>
  <c r="K11" i="6"/>
  <c r="J10" i="6"/>
  <c r="K10" i="6"/>
  <c r="J3" i="6"/>
  <c r="K3" i="6"/>
  <c r="J4" i="6"/>
  <c r="K4" i="6"/>
  <c r="J5" i="6"/>
  <c r="K5" i="6"/>
  <c r="J6" i="6"/>
  <c r="K6" i="6"/>
  <c r="J7" i="6"/>
  <c r="K7" i="6"/>
  <c r="J8" i="6"/>
  <c r="K8" i="6"/>
  <c r="J9" i="6"/>
  <c r="K9" i="6"/>
  <c r="K2" i="6"/>
  <c r="J2" i="6"/>
  <c r="J29" i="3"/>
  <c r="K29" i="3"/>
  <c r="J28" i="3"/>
  <c r="K28" i="3"/>
  <c r="J27" i="3"/>
  <c r="K27" i="3"/>
  <c r="J26" i="3"/>
  <c r="K26" i="3"/>
  <c r="K27" i="1"/>
  <c r="K28" i="1"/>
  <c r="K29" i="1"/>
  <c r="K30" i="1"/>
  <c r="K31" i="1"/>
  <c r="K32" i="1"/>
  <c r="K33" i="1"/>
  <c r="J26" i="1"/>
  <c r="J27" i="1"/>
  <c r="J28" i="1"/>
  <c r="J29" i="1"/>
  <c r="J30" i="1"/>
  <c r="J31" i="1"/>
  <c r="J32" i="1"/>
  <c r="J33" i="1"/>
  <c r="J19" i="3"/>
  <c r="K19" i="3"/>
  <c r="J20" i="3"/>
  <c r="K20" i="3"/>
  <c r="J21" i="3"/>
  <c r="K21" i="3"/>
  <c r="J22" i="3"/>
  <c r="K22" i="3"/>
  <c r="J23" i="3"/>
  <c r="K23" i="3"/>
  <c r="J25" i="3"/>
  <c r="K25" i="3"/>
  <c r="J24" i="3"/>
  <c r="K24" i="3"/>
  <c r="J15" i="3"/>
  <c r="K15" i="3"/>
  <c r="J14" i="3"/>
  <c r="K14" i="3"/>
  <c r="J13" i="3"/>
  <c r="K13" i="3"/>
  <c r="J12" i="3"/>
  <c r="K12" i="3"/>
  <c r="J10" i="3"/>
  <c r="K10" i="3"/>
  <c r="J11" i="3"/>
  <c r="K11" i="3"/>
  <c r="J16" i="3"/>
  <c r="K16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7" i="3"/>
  <c r="K17" i="3"/>
  <c r="K2" i="3"/>
  <c r="J2" i="3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K2" i="11"/>
  <c r="J2" i="11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K2" i="10"/>
  <c r="J2" i="10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5" i="1"/>
  <c r="K22" i="1"/>
  <c r="K23" i="1"/>
  <c r="K24" i="1"/>
  <c r="K25" i="1"/>
  <c r="K26" i="1"/>
  <c r="K37" i="1"/>
  <c r="K38" i="1"/>
  <c r="J22" i="1"/>
  <c r="J23" i="1"/>
  <c r="J24" i="1"/>
  <c r="J25" i="1"/>
  <c r="J37" i="1"/>
  <c r="J3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<sst xmlns="http://schemas.openxmlformats.org/spreadsheetml/2006/main" count="521" uniqueCount="299">
  <si>
    <t>Algo</t>
  </si>
  <si>
    <t>Bestrafungswerte</t>
  </si>
  <si>
    <t>Seed</t>
  </si>
  <si>
    <t>Parameter</t>
  </si>
  <si>
    <t>False Negative</t>
  </si>
  <si>
    <t>False Positive</t>
  </si>
  <si>
    <t>Accuracy</t>
  </si>
  <si>
    <t>RandomForest (CostMatrix 1 zu 1)</t>
  </si>
  <si>
    <t>RandomForest (CostMatrix 5 zu 1)</t>
  </si>
  <si>
    <t>RandomForest (CostMatrix 8 zu 1)</t>
  </si>
  <si>
    <t>RandomForest (CostMatrix 9 zu 1)</t>
  </si>
  <si>
    <t>RandomForest (CostMatrix 10 zu 1)</t>
  </si>
  <si>
    <t>RandomForest (CostMatrix 11 zu 1)</t>
  </si>
  <si>
    <t>RandomForest (CostMatrix 12 zu 1)</t>
  </si>
  <si>
    <t>RandomForest (CostMatrix 15 zu 1)</t>
  </si>
  <si>
    <t>RandomForest (CostMatrix 20 zu 1)</t>
  </si>
  <si>
    <t>RandomForest (CostMatrix 25 zu 1)</t>
  </si>
  <si>
    <t>RandomForest (CostMatrix 100 zu 1)</t>
  </si>
  <si>
    <t>RandomForest (CostMatrix 242 zu 1)</t>
  </si>
  <si>
    <t>scatterplot</t>
  </si>
  <si>
    <r>
      <t xml:space="preserve">import </t>
    </r>
    <r>
      <rPr>
        <sz val="10"/>
        <color rgb="FFBCBEC4"/>
        <rFont val="JetBrains Mono"/>
        <family val="3"/>
      </rPr>
      <t xml:space="preserve">matplotlib.pyplot </t>
    </r>
    <r>
      <rPr>
        <sz val="10"/>
        <color rgb="FFCF8E6D"/>
        <rFont val="JetBrains Mono"/>
        <family val="3"/>
      </rPr>
      <t xml:space="preserve">as </t>
    </r>
    <r>
      <rPr>
        <sz val="10"/>
        <color rgb="FFBCBEC4"/>
        <rFont val="JetBrains Mono"/>
        <family val="3"/>
      </rPr>
      <t>plt</t>
    </r>
  </si>
  <si>
    <t>import matplotlib.pyplot as plt
# ----------------------------------------------------
# 1) Hilfsfunktion: Textblock mit Prozentwerten parsen
# ----------------------------------------------------
def parse_percent_block(text):
    values = []
    for token in text.replace('%', ' ').split():
        token = token.replace(',', '.')
        if not token:
            continue
        v = float(token)
        # Sicherheitsnetz: falls mal 9666,0800% o.ä. drin steht
        if v &gt; 1000:
            v = v / 100.0
        values.append(v)
    return values
# ----------------------------------------------------
# 2) HIER NUR DEINE WERTE EINFÜGEN
#    (genau so wie aus Excel kopieren)
# ----------------------------------------------------
# Random Forest – Accuracy
rf_acc_text = """
95,7821%
9666,0800%
95,9578%
95,7821%
95,0791%
94,5518%
93,6731%
93,3216%
93,1459%
92,4429%
92,4429%
91,9156%
91,2127%
91,7399%
91,3884%
91,2127%
90,8612%
91,0369%
91,3884%
90,5097%
89,6309%
89,1037%
89,8067%
89,6309%
89,2794%
89,2794%
88,0492%
88,4007%
88,5764%
87,6977%
88,2250%
87,1705%
87,5220%
86,9947%
86,4675%
75,7469%
53,4271%
"""
# Random Forest – Precision
rf_prec_text = """
95,63%
95,73%
93,15%
96,70%
91,07%
89,18%
87,29%
86,25%
85,60%
84,21%
84,49%
83,47%
82,14%
83,13%
82,21%
81,89%
81,25%
81,57%
81,96%
80,86%
79,31%
78,20%
79,39%
78,87%
78,49%
78,28%
76,47%
77,04%
77,32%
75,91%
76,36%
74,73%
75,45%
74,47%
73,68%
60,63%
44,44%
"""
# J48 – Accuracy
j48_acc_text = """
93,3216%
94,5518%
93,6731%
93,6731%
94,0246%
94,0246%
92,6186%
92,4429%
92,6186%
92,6186%
91,9156%
91,7399%
91,3884%
91,0369%
91,3884%
91,3884%
90,8612%
89,6309%
88,7522%
88,9279%
87,6977%
82,4253%
83,3040%
80,6678%
79,4376%
80,3163%
71,8805%
45,8699%
45,87%
41,65%
37,26%
"""
# J48 – Precision
j48_prec_text = """
89,55%
91,71%
90,74%
93,87%
89,04%
89,38%
86,32%
86,27%
85,71%
85,12%
83,74%
83,40%
82,73%
82,33%
83,00%
82,73%
82,26%
79,54%
78,24%
78,54%
76,49%
68,67%
69,83%
66,24%
64,71%
65,82%
57,10%
40,66%
40,66%
38,93%
37,26%
"""
bayesnet_acc_text = """
95,08%
94,90%
94,73%
94,90%
94,90%
95,08%
94,55%
94,55%
94,38%
94,55%
94,55%
94,02%
94,02%
93,15%
93,15%
41,48%
41,48%
41,48%
37,26%
37,26%
37,26%
"""
bayesnet_prec_text = """
93,40%
92,17%
92,13%
92,56%
91,78%
92,20%
91,32%
90,95%
91,28%
91,32%
91,32%
90,09%
90,09%
88,44%
88,11%
38,82%
38,82%
38,82%
37,26%
37,26%
37,26%
"""
oner_acc_text = """
90,16%
88,58%
89,10%
86,82%
85,76%
86,12%
83,66%
82,95%
82,43%
82,43%
77,68%
74,34%
70,47%
68,89%
62,21%
63,80%
58,52%
49,91%
49,91%
49,91%
49,91%
46,05%
46,05%
"""
oner_prec_text = """
86,79%
82,67%
82,33%
76,65%
74,72%
74,72%
70,73%
69,62%
69,31%
69,31%
63,24%
59,59%
55,98%
54,67%
54,67%
50,74%
47,27%
42,63%
42,63%
42,63%
42,63%
40,85%
40,85%
"""
function_acc_text = """
97,1880%
97,1880%
96,3093%
95,4306%
94,5518%
93,8489%
93,3216%
93,8489%
94,2004%
93,3216%
92,9701%
92,2671%
92,4429%
91,7399%
90,6854%
90,5097%
70,2988%
70,4745%
67,6626%
69,9473%
69,9473%
69,5958%
66,4323%
66,4323%
66,0808%
65,9051%
65,7293%
"""
function_prec_text = """
97,57%
95,37%
93,21%
90,79%
89,18%
87,66%
86,25%
87,66%
87,76%
85,95%
85,25%
83,60%
83,67%
82,10%
80,23%
80,38%
55,67%
55,82%
53,55%
55,38%
55,38%
55,09%
52,61%
52,61%
52,35%
52,22%
52,09%
"""
naivebyas_acc_text = """
92,97%
92,97%
92,97%
92,97%
92,97%
92,97%
92,97%
92,97%
92,97%
92,97%
93,15%
92,79%
92,79%
92,97%
93,15%
93,32%
93,50%
93,50%
93,32%
93,50%
93,50%
93,50%
93,32%
93,32%
93,32%
93,32%
93,32%
93,32%
93,32%
93,32%
93,32%
93,32%
93,32%
93,32%
93,32%
"""
naivebyas_prec_text = """
91,35%
90,95%
90,95%
90,95%
90,95%
90,95%
90,95%
90,95%
90,95%
90,95%
90,57%
90,61%
89,77%
89,77%
89,81%
89,86%
89,91%
89,95%
89,95%
89,55%
89,59%
89,59%
89,59%
89,19%
89,19%
89,19%
89,19%
89,19%
89,19%
89,19%
89,19%
89,19%
88,84%
88,84%
88,84%
88,84%
"""
# ----------------------------------------------------
# 3) In Python-Listen umwandeln
# ----------------------------------------------------
rf_accuracy   = parse_percent_block(rf_acc_text)
rf_precision  = parse_percent_block(rf_prec_text)
j48_accuracy  = parse_percent_block(j48_acc_text)
j48_precision = parse_percent_block(j48_prec_text)
bayesnet_accuracy  = parse_percent_block(bayesnet_acc_text)
bayesnet_precision = parse_percent_block(bayesnet_prec_text)
oner_accuracy = parse_percent_block(oner_acc_text)
oner_precision = parse_percent_block(oner_prec_text)
function_accuracy = parse_percent_block(function_acc_text)
function_precision = parse_percent_block(function_prec_text)
naivebyas_accuracy = parse_percent_block(naivebyas_acc_text)
naivebyas_precision = parse_percent_block(naivebyas_prec_text)
methods = {
    "Random Forest": {
        "acc": rf_accuracy,
        "prec": rf_precision,
        "marker": "o",
        "linestyle": "-"
    },
    "J48": {
        "acc": j48_accuracy,
        "prec": j48_precision,
        "marker": "^",
        "linestyle": "--"
    },
    "Bayes Net": {
        "acc": bayesnet_accuracy,
        "prec": bayesnet_precision,
        "marker": "s",     # anderes Symbol
        "linestyle": "-."  # anderer Linientyp
    },
    "OneR":{
        "acc": oner_accuracy,
        "prec": oner_precision,
        "marker": "+",
        "linestyle": "-"
    },
    "Functions Logistic":{
        "acc": function_accuracy,
        "prec": function_precision,
        "marker": "o",
        "linestyle": "--"
    },
    "Naive Bayes": {
        "acc": naivebyas_accuracy,
        "prec": naivebyas_precision,
        "marker": "^",
        "linestyle": "-."
    },
}
# ----------------------------------------------------
# 4) Plot: links Accuracy, rechts Precision
# ----------------------------------------------------
fig, (ax1, ax2) = plt.subplots(1, 2, figsize=(10, 4), sharex=False)
# Accuracy-Plot
for name, vals in methods.items():
    x = range(1, len(vals["acc"]) + 1)
    ax1.plot(x, vals["acc"],
             label=name,
             marker=vals["marker"],
             linestyle=vals["linestyle"])
ax1.set_xlabel("Index")
ax1.set_ylabel("Accuracy in %")
ax1.set_ylim(0, 100)
ax1.legend()
# Precision-Plot
for name, vals in methods.items():
    x = range(1, len(vals["prec"]) + 1)
    ax2.plot(x, vals["prec"],
             label=name,
             marker=vals["marker"],
             linestyle=vals["linestyle"])
ax2.set_xlabel("Index")
ax2.set_ylabel("Precision in %")
ax2.set_ylim(0, 100)
ax2.legend()
plt.tight_layout()
plt.show()</t>
  </si>
  <si>
    <t># ----------------------------------------------------</t>
  </si>
  <si>
    <r>
      <t>import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matplotlib</t>
    </r>
    <r>
      <rPr>
        <sz val="8"/>
        <color rgb="FFCCCCCC"/>
        <rFont val="Consolas"/>
        <family val="3"/>
      </rPr>
      <t>.</t>
    </r>
    <r>
      <rPr>
        <sz val="8"/>
        <color rgb="FF4EC9B0"/>
        <rFont val="Consolas"/>
        <family val="3"/>
      </rPr>
      <t>pyplot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as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plt</t>
    </r>
  </si>
  <si>
    <t># 1) Hilfsfunktion: Textblock mit Prozentwerten parsen</t>
  </si>
  <si>
    <r>
      <t xml:space="preserve">def </t>
    </r>
    <r>
      <rPr>
        <sz val="10"/>
        <color rgb="FF56A8F5"/>
        <rFont val="JetBrains Mono"/>
        <family val="3"/>
      </rPr>
      <t>parse_percent_block</t>
    </r>
    <r>
      <rPr>
        <sz val="10"/>
        <color rgb="FFBCBEC4"/>
        <rFont val="JetBrains Mono"/>
        <family val="3"/>
      </rPr>
      <t>(text):</t>
    </r>
  </si>
  <si>
    <t xml:space="preserve">    values = []</t>
  </si>
  <si>
    <r>
      <t xml:space="preserve">    </t>
    </r>
    <r>
      <rPr>
        <sz val="10"/>
        <color rgb="FFCF8E6D"/>
        <rFont val="JetBrains Mono"/>
        <family val="3"/>
      </rPr>
      <t xml:space="preserve">for </t>
    </r>
    <r>
      <rPr>
        <sz val="10"/>
        <color rgb="FFBCBEC4"/>
        <rFont val="JetBrains Mono"/>
        <family val="3"/>
      </rPr>
      <t xml:space="preserve">token </t>
    </r>
    <r>
      <rPr>
        <sz val="10"/>
        <color rgb="FFCF8E6D"/>
        <rFont val="JetBrains Mono"/>
        <family val="3"/>
      </rPr>
      <t xml:space="preserve">in </t>
    </r>
    <r>
      <rPr>
        <sz val="10"/>
        <color rgb="FFBCBEC4"/>
        <rFont val="JetBrains Mono"/>
        <family val="3"/>
      </rPr>
      <t>text.replace(</t>
    </r>
    <r>
      <rPr>
        <sz val="10"/>
        <color rgb="FF6AAB73"/>
        <rFont val="JetBrains Mono"/>
        <family val="3"/>
      </rPr>
      <t>'%'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 '</t>
    </r>
    <r>
      <rPr>
        <sz val="10"/>
        <color rgb="FFBCBEC4"/>
        <rFont val="JetBrains Mono"/>
        <family val="3"/>
      </rPr>
      <t>).split():</t>
    </r>
  </si>
  <si>
    <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text</t>
    </r>
    <r>
      <rPr>
        <sz val="8"/>
        <color rgb="FFCCCCCC"/>
        <rFont val="Consolas"/>
        <family val="3"/>
      </rPr>
      <t>):</t>
    </r>
  </si>
  <si>
    <r>
      <t xml:space="preserve">        token = token.replace(</t>
    </r>
    <r>
      <rPr>
        <sz val="10"/>
        <color rgb="FF6AAB73"/>
        <rFont val="JetBrains Mono"/>
        <family val="3"/>
      </rPr>
      <t>','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'.'</t>
    </r>
    <r>
      <rPr>
        <sz val="10"/>
        <color rgb="FFBCBEC4"/>
        <rFont val="JetBrains Mono"/>
        <family val="3"/>
      </rPr>
      <t>)</t>
    </r>
  </si>
  <si>
    <r>
      <t xml:space="preserve">    </t>
    </r>
    <r>
      <rPr>
        <sz val="8"/>
        <color rgb="FF9CDCFE"/>
        <rFont val="Consolas"/>
        <family val="3"/>
      </rPr>
      <t>values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[]</t>
    </r>
  </si>
  <si>
    <r>
      <t xml:space="preserve">        </t>
    </r>
    <r>
      <rPr>
        <sz val="10"/>
        <color rgb="FFCF8E6D"/>
        <rFont val="JetBrains Mono"/>
        <family val="3"/>
      </rPr>
      <t xml:space="preserve">if not </t>
    </r>
    <r>
      <rPr>
        <sz val="10"/>
        <color rgb="FFBCBEC4"/>
        <rFont val="JetBrains Mono"/>
        <family val="3"/>
      </rPr>
      <t>token:</t>
    </r>
  </si>
  <si>
    <r>
      <t xml:space="preserve">    </t>
    </r>
    <r>
      <rPr>
        <sz val="8"/>
        <color rgb="FFC586C0"/>
        <rFont val="Consolas"/>
        <family val="3"/>
      </rP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token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text</t>
    </r>
    <r>
      <rPr>
        <sz val="8"/>
        <color rgb="FFCCCCCC"/>
        <rFont val="Consolas"/>
        <family val="3"/>
      </rPr>
      <t>.replace(</t>
    </r>
    <r>
      <rPr>
        <sz val="8"/>
        <color rgb="FFCE9178"/>
        <rFont val="Consolas"/>
        <family val="3"/>
      </rPr>
      <t>'%'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 '</t>
    </r>
    <r>
      <rPr>
        <sz val="8"/>
        <color rgb="FFCCCCCC"/>
        <rFont val="Consolas"/>
        <family val="3"/>
      </rPr>
      <t>).split():</t>
    </r>
  </si>
  <si>
    <r>
      <t xml:space="preserve">            </t>
    </r>
    <r>
      <rPr>
        <sz val="10"/>
        <color rgb="FFCF8E6D"/>
        <rFont val="JetBrains Mono"/>
        <family val="3"/>
      </rPr>
      <t>continue</t>
    </r>
  </si>
  <si>
    <r>
      <t xml:space="preserve">        </t>
    </r>
    <r>
      <rPr>
        <sz val="8"/>
        <color rgb="FF9CDCFE"/>
        <rFont val="Consolas"/>
        <family val="3"/>
      </rPr>
      <t>token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token</t>
    </r>
    <r>
      <rPr>
        <sz val="8"/>
        <color rgb="FFCCCCCC"/>
        <rFont val="Consolas"/>
        <family val="3"/>
      </rPr>
      <t>.replace(</t>
    </r>
    <r>
      <rPr>
        <sz val="8"/>
        <color rgb="FFCE9178"/>
        <rFont val="Consolas"/>
        <family val="3"/>
      </rPr>
      <t>','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'.'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</si>
  <si>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BCBEC4"/>
        <rFont val="JetBrains Mono"/>
        <family val="3"/>
      </rPr>
      <t xml:space="preserve">v = </t>
    </r>
    <r>
      <rPr>
        <sz val="10"/>
        <color rgb="FF8888C6"/>
        <rFont val="JetBrains Mono"/>
        <family val="3"/>
      </rPr>
      <t>float</t>
    </r>
    <r>
      <rPr>
        <sz val="10"/>
        <color rgb="FFBCBEC4"/>
        <rFont val="JetBrains Mono"/>
        <family val="3"/>
      </rPr>
      <t>(token)</t>
    </r>
  </si>
  <si>
    <r>
      <t xml:space="preserve">       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token</t>
    </r>
    <r>
      <rPr>
        <sz val="8"/>
        <color rgb="FFCCCCCC"/>
        <rFont val="Consolas"/>
        <family val="3"/>
      </rPr>
      <t>:</t>
    </r>
  </si>
  <si>
    <r>
      <t xml:space="preserve">        </t>
    </r>
    <r>
      <rPr>
        <sz val="10"/>
        <color rgb="FF7A7E85"/>
        <rFont val="JetBrains Mono"/>
        <family val="3"/>
      </rPr>
      <t># Sicherheitsnetz: falls mal 9666,0800% o.ä. drin steht</t>
    </r>
  </si>
  <si>
    <r>
      <t xml:space="preserve">            </t>
    </r>
    <r>
      <rPr>
        <sz val="8"/>
        <color rgb="FFC586C0"/>
        <rFont val="Consolas"/>
        <family val="3"/>
      </rPr>
      <t>continue</t>
    </r>
  </si>
  <si>
    <r>
      <t xml:space="preserve">        </t>
    </r>
    <r>
      <rPr>
        <sz val="10"/>
        <color rgb="FFCF8E6D"/>
        <rFont val="JetBrains Mono"/>
        <family val="3"/>
      </rPr>
      <t xml:space="preserve">if </t>
    </r>
    <r>
      <rPr>
        <sz val="10"/>
        <color rgb="FFBCBEC4"/>
        <rFont val="JetBrains Mono"/>
        <family val="3"/>
      </rPr>
      <t xml:space="preserve">v &gt; </t>
    </r>
    <r>
      <rPr>
        <sz val="10"/>
        <color rgb="FF2AACB8"/>
        <rFont val="JetBrains Mono"/>
        <family val="3"/>
      </rPr>
      <t>1000</t>
    </r>
    <r>
      <rPr>
        <sz val="10"/>
        <color rgb="FFBCBEC4"/>
        <rFont val="JetBrains Mono"/>
        <family val="3"/>
      </rPr>
      <t>:</t>
    </r>
  </si>
  <si>
    <r>
      <t xml:space="preserve">        </t>
    </r>
    <r>
      <rPr>
        <sz val="8"/>
        <color rgb="FF9CDCFE"/>
        <rFont val="Consolas"/>
        <family val="3"/>
      </rPr>
      <t>v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float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token</t>
    </r>
    <r>
      <rPr>
        <sz val="8"/>
        <color rgb="FFCCCCCC"/>
        <rFont val="Consolas"/>
        <family val="3"/>
      </rPr>
      <t>)</t>
    </r>
  </si>
  <si>
    <r>
      <t xml:space="preserve">            v = v / </t>
    </r>
    <r>
      <rPr>
        <sz val="10"/>
        <color rgb="FF2AACB8"/>
        <rFont val="JetBrains Mono"/>
        <family val="3"/>
      </rPr>
      <t>100.0</t>
    </r>
  </si>
  <si>
    <r>
      <t xml:space="preserve">        </t>
    </r>
    <r>
      <rPr>
        <sz val="8"/>
        <color rgb="FF6A9955"/>
        <rFont val="Consolas"/>
        <family val="3"/>
      </rPr>
      <t># Sicherheitsnetz: falls mal 9666,0800% o.ä. drin steht</t>
    </r>
  </si>
  <si>
    <r>
      <t xml:space="preserve">        </t>
    </r>
    <r>
      <rPr>
        <sz val="10"/>
        <color rgb="FFBCBEC4"/>
        <rFont val="JetBrains Mono"/>
        <family val="3"/>
      </rPr>
      <t>values.append(v)</t>
    </r>
  </si>
  <si>
    <r>
      <t xml:space="preserve">       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v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&gt;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1000</t>
    </r>
    <r>
      <rPr>
        <sz val="8"/>
        <color rgb="FFCCCCCC"/>
        <rFont val="Consolas"/>
        <family val="3"/>
      </rPr>
      <t>:</t>
    </r>
  </si>
  <si>
    <r>
      <t xml:space="preserve">    </t>
    </r>
    <r>
      <rPr>
        <sz val="10"/>
        <color rgb="FFCF8E6D"/>
        <rFont val="JetBrains Mono"/>
        <family val="3"/>
      </rPr>
      <t xml:space="preserve">return </t>
    </r>
    <r>
      <rPr>
        <sz val="10"/>
        <color rgb="FFBCBEC4"/>
        <rFont val="JetBrains Mono"/>
        <family val="3"/>
      </rPr>
      <t>values</t>
    </r>
  </si>
  <si>
    <r>
      <t xml:space="preserve">            </t>
    </r>
    <r>
      <rPr>
        <sz val="8"/>
        <color rgb="FF9CDCFE"/>
        <rFont val="Consolas"/>
        <family val="3"/>
      </rPr>
      <t>v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v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/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100.0</t>
    </r>
  </si>
  <si>
    <r>
      <t xml:space="preserve">        </t>
    </r>
    <r>
      <rPr>
        <sz val="8"/>
        <color rgb="FF9CDCFE"/>
        <rFont val="Consolas"/>
        <family val="3"/>
      </rPr>
      <t>values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append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v</t>
    </r>
    <r>
      <rPr>
        <sz val="8"/>
        <color rgb="FFCCCCCC"/>
        <rFont val="Consolas"/>
        <family val="3"/>
      </rPr>
      <t>)</t>
    </r>
  </si>
  <si>
    <r>
      <t xml:space="preserve">    </t>
    </r>
    <r>
      <rPr>
        <sz val="8"/>
        <color rgb="FFC586C0"/>
        <rFont val="Consolas"/>
        <family val="3"/>
      </rPr>
      <t>return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values</t>
    </r>
  </si>
  <si>
    <t># 2) HIER NUR DEINE WERTE EINFÜGEN</t>
  </si>
  <si>
    <t>#    (genau so wie aus Excel kopieren)</t>
  </si>
  <si>
    <t># 2) ROHDATEN: Genau wie aus Excel kopiert</t>
  </si>
  <si>
    <t># Random Forest – Accuracy</t>
  </si>
  <si>
    <r>
      <t xml:space="preserve">rf_acc_text = </t>
    </r>
    <r>
      <rPr>
        <sz val="10"/>
        <color rgb="FF6AAB73"/>
        <rFont val="JetBrains Mono"/>
        <family val="3"/>
      </rPr>
      <t>"""</t>
    </r>
  </si>
  <si>
    <r>
      <t>rf_acc_text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</si>
  <si>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t>"""</t>
  </si>
  <si>
    <t># Random Forest – Precision</t>
  </si>
  <si>
    <r>
      <t xml:space="preserve">rf_prec_text = </t>
    </r>
    <r>
      <rPr>
        <sz val="10"/>
        <color rgb="FF6AAB73"/>
        <rFont val="JetBrains Mono"/>
        <family val="3"/>
      </rPr>
      <t>"""</t>
    </r>
  </si>
  <si>
    <r>
      <t>rf_prec_text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</si>
  <si>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t># J48 – Accuracy</t>
  </si>
  <si>
    <r>
      <t xml:space="preserve">j48_acc_text = </t>
    </r>
    <r>
      <rPr>
        <sz val="10"/>
        <color rgb="FF6AAB73"/>
        <rFont val="JetBrains Mono"/>
        <family val="3"/>
      </rPr>
      <t>"""</t>
    </r>
  </si>
  <si>
    <r>
      <t>j48_acc_text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</si>
  <si>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t># J48 – Precision</t>
  </si>
  <si>
    <r>
      <t xml:space="preserve">j48_prec_text = </t>
    </r>
    <r>
      <rPr>
        <sz val="10"/>
        <color rgb="FF6AAB73"/>
        <rFont val="JetBrains Mono"/>
        <family val="3"/>
      </rPr>
      <t>"""</t>
    </r>
  </si>
  <si>
    <r>
      <t>j48_prec_text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</si>
  <si>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bayesnet_acc_text = </t>
    </r>
    <r>
      <rPr>
        <sz val="10"/>
        <color rgb="FF6AAB73"/>
        <rFont val="JetBrains Mono"/>
        <family val="3"/>
      </rPr>
      <t>"""</t>
    </r>
  </si>
  <si>
    <t># Bayes Net – Accuracy</t>
  </si>
  <si>
    <r>
      <t>bayesnet_acc_text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</si>
  <si>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bayesnet_prec_text = </t>
    </r>
    <r>
      <rPr>
        <sz val="10"/>
        <color rgb="FF6AAB73"/>
        <rFont val="JetBrains Mono"/>
        <family val="3"/>
      </rPr>
      <t>"""</t>
    </r>
  </si>
  <si>
    <t># Bayes Net – Precision</t>
  </si>
  <si>
    <r>
      <t>bayesnet_prec_text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</si>
  <si>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oner_acc_text = </t>
    </r>
    <r>
      <rPr>
        <sz val="10"/>
        <color rgb="FF6AAB73"/>
        <rFont val="JetBrains Mono"/>
        <family val="3"/>
      </rPr>
      <t>"""</t>
    </r>
  </si>
  <si>
    <t># OneR – Accuracy</t>
  </si>
  <si>
    <r>
      <t>oner_acc_text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</si>
  <si>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oner_prec_text = </t>
    </r>
    <r>
      <rPr>
        <sz val="10"/>
        <color rgb="FF6AAB73"/>
        <rFont val="JetBrains Mono"/>
        <family val="3"/>
      </rPr>
      <t>"""</t>
    </r>
  </si>
  <si>
    <t># OneR – Precision</t>
  </si>
  <si>
    <r>
      <t>oner_prec_text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</si>
  <si>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function_acc_text = </t>
    </r>
    <r>
      <rPr>
        <sz val="10"/>
        <color rgb="FF6AAB73"/>
        <rFont val="JetBrains Mono"/>
        <family val="3"/>
      </rPr>
      <t>"""</t>
    </r>
  </si>
  <si>
    <t># Functions Logistic – Accuracy</t>
  </si>
  <si>
    <r>
      <t>function_acc_text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</si>
  <si>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function_prec_text = </t>
    </r>
    <r>
      <rPr>
        <sz val="10"/>
        <color rgb="FF6AAB73"/>
        <rFont val="JetBrains Mono"/>
        <family val="3"/>
      </rPr>
      <t>"""</t>
    </r>
  </si>
  <si>
    <t># Functions Logistic – Precision</t>
  </si>
  <si>
    <r>
      <t>function_prec_text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</si>
  <si>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naivebyas_acc_text = </t>
    </r>
    <r>
      <rPr>
        <sz val="10"/>
        <color rgb="FF6AAB73"/>
        <rFont val="JetBrains Mono"/>
        <family val="3"/>
      </rPr>
      <t>"""</t>
    </r>
  </si>
  <si>
    <t># Naive Bayes – Accuracy</t>
  </si>
  <si>
    <r>
      <t>naivebyas_acc_text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</si>
  <si>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r>
      <t xml:space="preserve">naivebyas_prec_text = </t>
    </r>
    <r>
      <rPr>
        <sz val="10"/>
        <color rgb="FF6AAB73"/>
        <rFont val="JetBrains Mono"/>
        <family val="3"/>
      </rPr>
      <t>"""</t>
    </r>
  </si>
  <si>
    <t># Naive Bayes – Precision</t>
  </si>
  <si>
    <r>
      <t>naivebyas_prec_text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"""</t>
    </r>
  </si>
  <si>
    <t># 3) In Python-Listen umwandeln</t>
  </si>
  <si>
    <t>rf_accuracy   = parse_percent_block(rf_acc_text)</t>
  </si>
  <si>
    <t>rf_precision  = parse_percent_block(rf_prec_text)</t>
  </si>
  <si>
    <t>j48_accuracy  = parse_percent_block(j48_acc_text)</t>
  </si>
  <si>
    <t>j48_precision = parse_percent_block(j48_prec_text)</t>
  </si>
  <si>
    <t>bayesnet_accuracy  = parse_percent_block(bayesnet_acc_text)</t>
  </si>
  <si>
    <t>bayesnet_precision = parse_percent_block(bayesnet_prec_text)</t>
  </si>
  <si>
    <t>oner_accuracy = parse_percent_block(oner_acc_text)</t>
  </si>
  <si>
    <t>oner_precision = parse_percent_block(oner_prec_text)</t>
  </si>
  <si>
    <t>function_accuracy = parse_percent_block(function_acc_text)</t>
  </si>
  <si>
    <t>function_precision = parse_percent_block(function_prec_text)</t>
  </si>
  <si>
    <t>naivebyas_accuracy = parse_percent_block(naivebyas_acc_text)</t>
  </si>
  <si>
    <t>naivebyas_precision = parse_percent_block(naivebyas_prec_text)</t>
  </si>
  <si>
    <t># 3) In Python-Listen umwandeln (ALLE in %)</t>
  </si>
  <si>
    <t>methods = {</t>
  </si>
  <si>
    <r>
      <t xml:space="preserve">    </t>
    </r>
    <r>
      <rPr>
        <sz val="10"/>
        <color rgb="FF6AAB73"/>
        <rFont val="JetBrains Mono"/>
        <family val="3"/>
      </rPr>
      <t>"Random Forest"</t>
    </r>
    <r>
      <rPr>
        <sz val="10"/>
        <color rgb="FFBCBEC4"/>
        <rFont val="JetBrains Mono"/>
        <family val="3"/>
      </rPr>
      <t>: {</t>
    </r>
  </si>
  <si>
    <r>
      <t>rf_accuracy</t>
    </r>
    <r>
      <rPr>
        <sz val="8"/>
        <color rgb="FFCCCCCC"/>
        <rFont val="Consolas"/>
        <family val="3"/>
      </rPr>
      <t xml:space="preserve">  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rf_acc_text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</si>
  <si>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rf_accuracy,</t>
    </r>
  </si>
  <si>
    <r>
      <t>rf_precision</t>
    </r>
    <r>
      <rPr>
        <sz val="8"/>
        <color rgb="FFCCCCCC"/>
        <rFont val="Consolas"/>
        <family val="3"/>
      </rPr>
      <t xml:space="preserve">  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rf_prec_text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</si>
  <si>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rf_precision,</t>
    </r>
  </si>
  <si>
    <r>
      <t xml:space="preserve">        </t>
    </r>
    <r>
      <rPr>
        <sz val="10"/>
        <color rgb="FF6AAB73"/>
        <rFont val="JetBrains Mono"/>
        <family val="3"/>
      </rPr>
      <t>"marker"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"o"</t>
    </r>
    <r>
      <rPr>
        <sz val="10"/>
        <color rgb="FFBCBEC4"/>
        <rFont val="JetBrains Mono"/>
        <family val="3"/>
      </rPr>
      <t>,</t>
    </r>
  </si>
  <si>
    <r>
      <t>j48_accuracy</t>
    </r>
    <r>
      <rPr>
        <sz val="8"/>
        <color rgb="FFCCCCCC"/>
        <rFont val="Consolas"/>
        <family val="3"/>
      </rPr>
      <t xml:space="preserve">  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j48_acc_text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</si>
  <si>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"linestyle"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"-"</t>
    </r>
  </si>
  <si>
    <r>
      <t>j48_precision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j48_prec_text</t>
    </r>
    <r>
      <rPr>
        <sz val="8"/>
        <color rgb="FFCCCCCC"/>
        <rFont val="Consolas"/>
        <family val="3"/>
      </rPr>
      <t>)</t>
    </r>
  </si>
  <si>
    <r>
      <t xml:space="preserve">    </t>
    </r>
    <r>
      <rPr>
        <sz val="10"/>
        <color rgb="FFBCBEC4"/>
        <rFont val="JetBrains Mono"/>
        <family val="3"/>
      </rPr>
      <t>},</t>
    </r>
  </si>
  <si>
    <r>
      <t xml:space="preserve">    </t>
    </r>
    <r>
      <rPr>
        <sz val="10"/>
        <color rgb="FF6AAB73"/>
        <rFont val="JetBrains Mono"/>
        <family val="3"/>
      </rPr>
      <t>"J48"</t>
    </r>
    <r>
      <rPr>
        <sz val="10"/>
        <color rgb="FFBCBEC4"/>
        <rFont val="JetBrains Mono"/>
        <family val="3"/>
      </rPr>
      <t>: {</t>
    </r>
  </si>
  <si>
    <r>
      <t>bayesnet_accuracy</t>
    </r>
    <r>
      <rPr>
        <sz val="8"/>
        <color rgb="FFCCCCCC"/>
        <rFont val="Consolas"/>
        <family val="3"/>
      </rPr>
      <t xml:space="preserve">  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bayesnet_acc_text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</si>
  <si>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j48_accuracy,</t>
    </r>
  </si>
  <si>
    <r>
      <t>bayesnet_precision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bayesnet_prec_text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</si>
  <si>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j48_precision,</t>
    </r>
  </si>
  <si>
    <r>
      <t xml:space="preserve">        </t>
    </r>
    <r>
      <rPr>
        <sz val="10"/>
        <color rgb="FF6AAB73"/>
        <rFont val="JetBrains Mono"/>
        <family val="3"/>
      </rPr>
      <t>"marker"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"^"</t>
    </r>
    <r>
      <rPr>
        <sz val="10"/>
        <color rgb="FFBCBEC4"/>
        <rFont val="JetBrains Mono"/>
        <family val="3"/>
      </rPr>
      <t>,</t>
    </r>
  </si>
  <si>
    <r>
      <t>oner_accuracy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oner_acc_text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</si>
  <si>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"linestyle"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"--"</t>
    </r>
  </si>
  <si>
    <r>
      <t>oner_precision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oner_prec_text</t>
    </r>
    <r>
      <rPr>
        <sz val="8"/>
        <color rgb="FFCCCCCC"/>
        <rFont val="Consolas"/>
        <family val="3"/>
      </rPr>
      <t>)</t>
    </r>
  </si>
  <si>
    <r>
      <t xml:space="preserve">    </t>
    </r>
    <r>
      <rPr>
        <sz val="10"/>
        <color rgb="FF6AAB73"/>
        <rFont val="JetBrains Mono"/>
        <family val="3"/>
      </rPr>
      <t>"Bayes Net"</t>
    </r>
    <r>
      <rPr>
        <sz val="10"/>
        <color rgb="FFBCBEC4"/>
        <rFont val="JetBrains Mono"/>
        <family val="3"/>
      </rPr>
      <t>: {</t>
    </r>
  </si>
  <si>
    <r>
      <t>function_accuracy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function_acc_text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</si>
  <si>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bayesnet_accuracy,</t>
    </r>
  </si>
  <si>
    <r>
      <t>function_precision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function_prec_text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</si>
  <si>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bayesnet_precision,</t>
    </r>
  </si>
  <si>
    <r>
      <t xml:space="preserve">        </t>
    </r>
    <r>
      <rPr>
        <sz val="10"/>
        <color rgb="FF6AAB73"/>
        <rFont val="JetBrains Mono"/>
        <family val="3"/>
      </rPr>
      <t>"marker"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"s"</t>
    </r>
    <r>
      <rPr>
        <sz val="10"/>
        <color rgb="FFBCBEC4"/>
        <rFont val="JetBrains Mono"/>
        <family val="3"/>
      </rPr>
      <t xml:space="preserve">,     </t>
    </r>
    <r>
      <rPr>
        <sz val="10"/>
        <color rgb="FF7A7E85"/>
        <rFont val="JetBrains Mono"/>
        <family val="3"/>
      </rPr>
      <t># anderes Symbol</t>
    </r>
  </si>
  <si>
    <r>
      <t>naivebyas_accuracy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naivebyas_acc_text</t>
    </r>
    <r>
      <rPr>
        <sz val="8"/>
        <color rgb="FFCCCCCC"/>
        <rFont val="Consolas"/>
        <family val="3"/>
      </rPr>
      <t>)</t>
    </r>
  </si>
  <si>
    <r>
      <t xml:space="preserve">        </t>
    </r>
    <r>
      <rPr>
        <sz val="10"/>
        <color rgb="FF6AAB73"/>
        <rFont val="JetBrains Mono"/>
        <family val="3"/>
      </rPr>
      <t>"linestyle"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 xml:space="preserve">"-."  </t>
    </r>
    <r>
      <rPr>
        <sz val="10"/>
        <color rgb="FF7A7E85"/>
        <rFont val="JetBrains Mono"/>
        <family val="3"/>
      </rPr>
      <t># anderer Linientyp</t>
    </r>
  </si>
  <si>
    <r>
      <t>naivebyas_precision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parse_percent_block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naivebyas_prec_text</t>
    </r>
    <r>
      <rPr>
        <sz val="8"/>
        <color rgb="FFCCCCCC"/>
        <rFont val="Consolas"/>
        <family val="3"/>
      </rPr>
      <t>)</t>
    </r>
  </si>
  <si>
    <r>
      <t xml:space="preserve">    </t>
    </r>
    <r>
      <rPr>
        <sz val="10"/>
        <color rgb="FF6AAB73"/>
        <rFont val="JetBrains Mono"/>
        <family val="3"/>
      </rPr>
      <t>"OneR"</t>
    </r>
    <r>
      <rPr>
        <sz val="10"/>
        <color rgb="FFBCBEC4"/>
        <rFont val="JetBrains Mono"/>
        <family val="3"/>
      </rPr>
      <t>:{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</si>
  <si>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oner_accuracy,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</si>
  <si>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oner_precision,</t>
    </r>
  </si>
  <si>
    <t># 4) Methoden-Definition für Index-Plots</t>
  </si>
  <si>
    <r>
      <t xml:space="preserve">        </t>
    </r>
    <r>
      <rPr>
        <sz val="10"/>
        <color rgb="FF6AAB73"/>
        <rFont val="JetBrains Mono"/>
        <family val="3"/>
      </rPr>
      <t>"marker"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"+"</t>
    </r>
    <r>
      <rPr>
        <sz val="10"/>
        <color rgb="FFBCBEC4"/>
        <rFont val="JetBrains Mono"/>
        <family val="3"/>
      </rPr>
      <t>,</t>
    </r>
  </si>
  <si>
    <r>
      <t>methods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</si>
  <si>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CE9178"/>
        <rFont val="Consolas"/>
        <family val="3"/>
      </rPr>
      <t>"Random Forest"</t>
    </r>
    <r>
      <rPr>
        <sz val="8"/>
        <color rgb="FFCCCCCC"/>
        <rFont val="Consolas"/>
        <family val="3"/>
      </rPr>
      <t>: {</t>
    </r>
  </si>
  <si>
    <r>
      <t xml:space="preserve">    </t>
    </r>
    <r>
      <rPr>
        <sz val="10"/>
        <color rgb="FF6AAB73"/>
        <rFont val="JetBrains Mono"/>
        <family val="3"/>
      </rPr>
      <t>"Functions Logistic"</t>
    </r>
    <r>
      <rPr>
        <sz val="10"/>
        <color rgb="FFBCBEC4"/>
        <rFont val="JetBrains Mono"/>
        <family val="3"/>
      </rPr>
      <t>:{</t>
    </r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</si>
  <si>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rf_accuracy</t>
    </r>
    <r>
      <rPr>
        <sz val="8"/>
        <color rgb="FFCCCCCC"/>
        <rFont val="Consolas"/>
        <family val="3"/>
      </rPr>
      <t>,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</si>
  <si>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function_accuracy,</t>
    </r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</si>
  <si>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rf_precision</t>
    </r>
    <r>
      <rPr>
        <sz val="8"/>
        <color rgb="FFCCCCCC"/>
        <rFont val="Consolas"/>
        <family val="3"/>
      </rPr>
      <t>,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</si>
  <si>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function_precision,</t>
    </r>
  </si>
  <si>
    <r>
      <t xml:space="preserve">        </t>
    </r>
    <r>
      <rPr>
        <sz val="8"/>
        <color rgb="FFCE9178"/>
        <rFont val="Consolas"/>
        <family val="3"/>
      </rPr>
      <t>"marker"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</si>
  <si>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"linestyle"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"-"</t>
    </r>
  </si>
  <si>
    <t>    },</t>
  </si>
  <si>
    <r>
      <t xml:space="preserve">    </t>
    </r>
    <r>
      <rPr>
        <sz val="8"/>
        <color rgb="FFCE9178"/>
        <rFont val="Consolas"/>
        <family val="3"/>
      </rPr>
      <t>"J48"</t>
    </r>
    <r>
      <rPr>
        <sz val="8"/>
        <color rgb="FFCCCCCC"/>
        <rFont val="Consolas"/>
        <family val="3"/>
      </rPr>
      <t>: {</t>
    </r>
  </si>
  <si>
    <r>
      <t xml:space="preserve">    </t>
    </r>
    <r>
      <rPr>
        <sz val="10"/>
        <color rgb="FF6AAB73"/>
        <rFont val="JetBrains Mono"/>
        <family val="3"/>
      </rPr>
      <t>"Naive Bayes"</t>
    </r>
    <r>
      <rPr>
        <sz val="10"/>
        <color rgb="FFBCBEC4"/>
        <rFont val="JetBrains Mono"/>
        <family val="3"/>
      </rPr>
      <t>: {</t>
    </r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</si>
  <si>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j48_accuracy</t>
    </r>
    <r>
      <rPr>
        <sz val="8"/>
        <color rgb="FFCCCCCC"/>
        <rFont val="Consolas"/>
        <family val="3"/>
      </rPr>
      <t>,</t>
    </r>
  </si>
  <si>
    <r>
      <t xml:space="preserve">        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: naivebyas_accuracy,</t>
    </r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</si>
  <si>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j48_precision</t>
    </r>
    <r>
      <rPr>
        <sz val="8"/>
        <color rgb="FFCCCCCC"/>
        <rFont val="Consolas"/>
        <family val="3"/>
      </rPr>
      <t>,</t>
    </r>
  </si>
  <si>
    <r>
      <t xml:space="preserve">        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: naivebyas_precision,</t>
    </r>
  </si>
  <si>
    <r>
      <t xml:space="preserve">        </t>
    </r>
    <r>
      <rPr>
        <sz val="8"/>
        <color rgb="FFCE9178"/>
        <rFont val="Consolas"/>
        <family val="3"/>
      </rPr>
      <t>"marker"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"^"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</si>
  <si>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"linestyle"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"--"</t>
    </r>
  </si>
  <si>
    <r>
      <t xml:space="preserve">        </t>
    </r>
    <r>
      <rPr>
        <sz val="10"/>
        <color rgb="FF6AAB73"/>
        <rFont val="JetBrains Mono"/>
        <family val="3"/>
      </rPr>
      <t>"linestyle"</t>
    </r>
    <r>
      <rPr>
        <sz val="10"/>
        <color rgb="FFBCBEC4"/>
        <rFont val="JetBrains Mono"/>
        <family val="3"/>
      </rPr>
      <t xml:space="preserve">: </t>
    </r>
    <r>
      <rPr>
        <sz val="10"/>
        <color rgb="FF6AAB73"/>
        <rFont val="JetBrains Mono"/>
        <family val="3"/>
      </rPr>
      <t>"-."</t>
    </r>
  </si>
  <si>
    <r>
      <t xml:space="preserve">    </t>
    </r>
    <r>
      <rPr>
        <sz val="8"/>
        <color rgb="FFCE9178"/>
        <rFont val="Consolas"/>
        <family val="3"/>
      </rPr>
      <t>"Bayes Net"</t>
    </r>
    <r>
      <rPr>
        <sz val="8"/>
        <color rgb="FFCCCCCC"/>
        <rFont val="Consolas"/>
        <family val="3"/>
      </rPr>
      <t>: {</t>
    </r>
  </si>
  <si>
    <t>}</t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</si>
  <si>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bayesnet_accuracy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</si>
  <si>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bayesnet_precision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</si>
  <si>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"marker"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"s"</t>
    </r>
    <r>
      <rPr>
        <sz val="8"/>
        <color rgb="FFCCCCCC"/>
        <rFont val="Consolas"/>
        <family val="3"/>
      </rPr>
      <t>,</t>
    </r>
  </si>
  <si>
    <t># 4) Plot: links Accuracy, rechts Precision</t>
  </si>
  <si>
    <r>
      <t xml:space="preserve">        </t>
    </r>
    <r>
      <rPr>
        <sz val="8"/>
        <color rgb="FFCE9178"/>
        <rFont val="Consolas"/>
        <family val="3"/>
      </rPr>
      <t>"linestyle"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"-."</t>
    </r>
  </si>
  <si>
    <r>
      <t>fig, (ax1, ax2) = plt.subplots(</t>
    </r>
    <r>
      <rPr>
        <sz val="10"/>
        <color rgb="FF2AACB8"/>
        <rFont val="JetBrains Mono"/>
        <family val="3"/>
      </rPr>
      <t>1</t>
    </r>
    <r>
      <rPr>
        <sz val="10"/>
        <color rgb="FFBCBEC4"/>
        <rFont val="JetBrains Mono"/>
        <family val="3"/>
      </rPr>
      <t xml:space="preserve">, </t>
    </r>
    <r>
      <rPr>
        <sz val="10"/>
        <color rgb="FF2AACB8"/>
        <rFont val="JetBrains Mono"/>
        <family val="3"/>
      </rPr>
      <t>2</t>
    </r>
    <r>
      <rPr>
        <sz val="10"/>
        <color rgb="FFBCBEC4"/>
        <rFont val="JetBrains Mono"/>
        <family val="3"/>
      </rPr>
      <t xml:space="preserve">, </t>
    </r>
    <r>
      <rPr>
        <sz val="10"/>
        <color rgb="FFAA4926"/>
        <rFont val="JetBrains Mono"/>
        <family val="3"/>
      </rPr>
      <t>figsize</t>
    </r>
    <r>
      <rPr>
        <sz val="10"/>
        <color rgb="FFBCBEC4"/>
        <rFont val="JetBrains Mono"/>
        <family val="3"/>
      </rPr>
      <t>=(</t>
    </r>
    <r>
      <rPr>
        <sz val="10"/>
        <color rgb="FF2AACB8"/>
        <rFont val="JetBrains Mono"/>
        <family val="3"/>
      </rPr>
      <t>10</t>
    </r>
    <r>
      <rPr>
        <sz val="10"/>
        <color rgb="FFBCBEC4"/>
        <rFont val="JetBrains Mono"/>
        <family val="3"/>
      </rPr>
      <t xml:space="preserve">, </t>
    </r>
    <r>
      <rPr>
        <sz val="10"/>
        <color rgb="FF2AACB8"/>
        <rFont val="JetBrains Mono"/>
        <family val="3"/>
      </rPr>
      <t>4</t>
    </r>
    <r>
      <rPr>
        <sz val="10"/>
        <color rgb="FFBCBEC4"/>
        <rFont val="JetBrains Mono"/>
        <family val="3"/>
      </rPr>
      <t xml:space="preserve">), </t>
    </r>
    <r>
      <rPr>
        <sz val="10"/>
        <color rgb="FFAA4926"/>
        <rFont val="JetBrains Mono"/>
        <family val="3"/>
      </rPr>
      <t>sharex</t>
    </r>
    <r>
      <rPr>
        <sz val="10"/>
        <color rgb="FFBCBEC4"/>
        <rFont val="JetBrains Mono"/>
        <family val="3"/>
      </rPr>
      <t>=</t>
    </r>
    <r>
      <rPr>
        <sz val="10"/>
        <color rgb="FFCF8E6D"/>
        <rFont val="JetBrains Mono"/>
        <family val="3"/>
      </rPr>
      <t>False</t>
    </r>
    <r>
      <rPr>
        <sz val="10"/>
        <color rgb="FFBCBEC4"/>
        <rFont val="JetBrains Mono"/>
        <family val="3"/>
      </rPr>
      <t>)</t>
    </r>
  </si>
  <si>
    <r>
      <t xml:space="preserve">    </t>
    </r>
    <r>
      <rPr>
        <sz val="8"/>
        <color rgb="FFCE9178"/>
        <rFont val="Consolas"/>
        <family val="3"/>
      </rPr>
      <t>"OneR"</t>
    </r>
    <r>
      <rPr>
        <sz val="8"/>
        <color rgb="FFCCCCCC"/>
        <rFont val="Consolas"/>
        <family val="3"/>
      </rPr>
      <t>: {</t>
    </r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</si>
  <si>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oner_accuracy</t>
    </r>
    <r>
      <rPr>
        <sz val="8"/>
        <color rgb="FFCCCCCC"/>
        <rFont val="Consolas"/>
        <family val="3"/>
      </rPr>
      <t>,</t>
    </r>
  </si>
  <si>
    <t># Accuracy-Plot</t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</si>
  <si>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oner_precision</t>
    </r>
    <r>
      <rPr>
        <sz val="8"/>
        <color rgb="FFCCCCCC"/>
        <rFont val="Consolas"/>
        <family val="3"/>
      </rPr>
      <t>,</t>
    </r>
  </si>
  <si>
    <r>
      <t xml:space="preserve">for </t>
    </r>
    <r>
      <rPr>
        <sz val="10"/>
        <color rgb="FFBCBEC4"/>
        <rFont val="JetBrains Mono"/>
        <family val="3"/>
      </rPr>
      <t xml:space="preserve">name, vals </t>
    </r>
    <r>
      <rPr>
        <sz val="10"/>
        <color rgb="FFCF8E6D"/>
        <rFont val="JetBrains Mono"/>
        <family val="3"/>
      </rPr>
      <t xml:space="preserve">in </t>
    </r>
    <r>
      <rPr>
        <sz val="10"/>
        <color rgb="FFBCBEC4"/>
        <rFont val="JetBrains Mono"/>
        <family val="3"/>
      </rPr>
      <t>methods.items():</t>
    </r>
  </si>
  <si>
    <r>
      <t xml:space="preserve">        </t>
    </r>
    <r>
      <rPr>
        <sz val="8"/>
        <color rgb="FFCE9178"/>
        <rFont val="Consolas"/>
        <family val="3"/>
      </rPr>
      <t>"marker"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"+"</t>
    </r>
    <r>
      <rPr>
        <sz val="8"/>
        <color rgb="FFCCCCCC"/>
        <rFont val="Consolas"/>
        <family val="3"/>
      </rPr>
      <t>,</t>
    </r>
  </si>
  <si>
    <r>
      <t xml:space="preserve">    x = </t>
    </r>
    <r>
      <rPr>
        <sz val="10"/>
        <color rgb="FF8888C6"/>
        <rFont val="JetBrains Mono"/>
        <family val="3"/>
      </rPr>
      <t>range</t>
    </r>
    <r>
      <rPr>
        <sz val="10"/>
        <color rgb="FFBCBEC4"/>
        <rFont val="JetBrains Mono"/>
        <family val="3"/>
      </rPr>
      <t>(</t>
    </r>
    <r>
      <rPr>
        <sz val="10"/>
        <color rgb="FF2AACB8"/>
        <rFont val="JetBrains Mono"/>
        <family val="3"/>
      </rPr>
      <t>1</t>
    </r>
    <r>
      <rPr>
        <sz val="10"/>
        <color rgb="FFBCBEC4"/>
        <rFont val="JetBrains Mono"/>
        <family val="3"/>
      </rPr>
      <t xml:space="preserve">, </t>
    </r>
    <r>
      <rPr>
        <sz val="10"/>
        <color rgb="FF8888C6"/>
        <rFont val="JetBrains Mono"/>
        <family val="3"/>
      </rPr>
      <t>len</t>
    </r>
    <r>
      <rPr>
        <sz val="10"/>
        <color rgb="FFBCBEC4"/>
        <rFont val="JetBrains Mono"/>
        <family val="3"/>
      </rPr>
      <t>(vals[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 xml:space="preserve">]) + </t>
    </r>
    <r>
      <rPr>
        <sz val="10"/>
        <color rgb="FF2AACB8"/>
        <rFont val="JetBrains Mono"/>
        <family val="3"/>
      </rPr>
      <t>1</t>
    </r>
    <r>
      <rPr>
        <sz val="10"/>
        <color rgb="FFBCBEC4"/>
        <rFont val="JetBrains Mono"/>
        <family val="3"/>
      </rPr>
      <t>)</t>
    </r>
  </si>
  <si>
    <r>
      <t xml:space="preserve">    ax1.plot(x, vals[</t>
    </r>
    <r>
      <rPr>
        <sz val="10"/>
        <color rgb="FF6AAB73"/>
        <rFont val="JetBrains Mono"/>
        <family val="3"/>
      </rPr>
      <t>"acc"</t>
    </r>
    <r>
      <rPr>
        <sz val="10"/>
        <color rgb="FFBCBEC4"/>
        <rFont val="JetBrains Mono"/>
        <family val="3"/>
      </rPr>
      <t>],</t>
    </r>
  </si>
  <si>
    <r>
      <t xml:space="preserve">             </t>
    </r>
    <r>
      <rPr>
        <sz val="10"/>
        <color rgb="FFAA4926"/>
        <rFont val="JetBrains Mono"/>
        <family val="3"/>
      </rPr>
      <t>label</t>
    </r>
    <r>
      <rPr>
        <sz val="10"/>
        <color rgb="FFBCBEC4"/>
        <rFont val="JetBrains Mono"/>
        <family val="3"/>
      </rPr>
      <t>=name,</t>
    </r>
  </si>
  <si>
    <r>
      <t xml:space="preserve">    </t>
    </r>
    <r>
      <rPr>
        <sz val="8"/>
        <color rgb="FFCE9178"/>
        <rFont val="Consolas"/>
        <family val="3"/>
      </rPr>
      <t>"Functions Logistic"</t>
    </r>
    <r>
      <rPr>
        <sz val="8"/>
        <color rgb="FFCCCCCC"/>
        <rFont val="Consolas"/>
        <family val="3"/>
      </rPr>
      <t>: {</t>
    </r>
  </si>
  <si>
    <r>
      <t xml:space="preserve">             </t>
    </r>
    <r>
      <rPr>
        <sz val="10"/>
        <color rgb="FFAA4926"/>
        <rFont val="JetBrains Mono"/>
        <family val="3"/>
      </rPr>
      <t>marker</t>
    </r>
    <r>
      <rPr>
        <sz val="10"/>
        <color rgb="FFBCBEC4"/>
        <rFont val="JetBrains Mono"/>
        <family val="3"/>
      </rPr>
      <t>=vals[</t>
    </r>
    <r>
      <rPr>
        <sz val="10"/>
        <color rgb="FF6AAB73"/>
        <rFont val="JetBrains Mono"/>
        <family val="3"/>
      </rPr>
      <t>"marker"</t>
    </r>
    <r>
      <rPr>
        <sz val="10"/>
        <color rgb="FFBCBEC4"/>
        <rFont val="JetBrains Mono"/>
        <family val="3"/>
      </rPr>
      <t>],</t>
    </r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</si>
  <si>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function_accuracy</t>
    </r>
    <r>
      <rPr>
        <sz val="8"/>
        <color rgb="FFCCCCCC"/>
        <rFont val="Consolas"/>
        <family val="3"/>
      </rPr>
      <t>,</t>
    </r>
  </si>
  <si>
    <r>
      <t xml:space="preserve">             </t>
    </r>
    <r>
      <rPr>
        <sz val="10"/>
        <color rgb="FFAA4926"/>
        <rFont val="JetBrains Mono"/>
        <family val="3"/>
      </rPr>
      <t>linestyle</t>
    </r>
    <r>
      <rPr>
        <sz val="10"/>
        <color rgb="FFBCBEC4"/>
        <rFont val="JetBrains Mono"/>
        <family val="3"/>
      </rPr>
      <t>=vals[</t>
    </r>
    <r>
      <rPr>
        <sz val="10"/>
        <color rgb="FF6AAB73"/>
        <rFont val="JetBrains Mono"/>
        <family val="3"/>
      </rPr>
      <t>"linestyle"</t>
    </r>
    <r>
      <rPr>
        <sz val="10"/>
        <color rgb="FFBCBEC4"/>
        <rFont val="JetBrains Mono"/>
        <family val="3"/>
      </rPr>
      <t>])</t>
    </r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</si>
  <si>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function_precision</t>
    </r>
    <r>
      <rPr>
        <sz val="8"/>
        <color rgb="FFCCCCCC"/>
        <rFont val="Consolas"/>
        <family val="3"/>
      </rPr>
      <t>,</t>
    </r>
  </si>
  <si>
    <r>
      <t>ax1.set_xlabel(</t>
    </r>
    <r>
      <rPr>
        <sz val="10"/>
        <color rgb="FF6AAB73"/>
        <rFont val="JetBrains Mono"/>
        <family val="3"/>
      </rPr>
      <t>"Index"</t>
    </r>
    <r>
      <rPr>
        <sz val="10"/>
        <color rgb="FFBCBEC4"/>
        <rFont val="JetBrains Mono"/>
        <family val="3"/>
      </rPr>
      <t>)</t>
    </r>
  </si>
  <si>
    <r>
      <t>ax1.set_ylabel(</t>
    </r>
    <r>
      <rPr>
        <sz val="10"/>
        <color rgb="FF6AAB73"/>
        <rFont val="JetBrains Mono"/>
        <family val="3"/>
      </rPr>
      <t>"Accuracy in %"</t>
    </r>
    <r>
      <rPr>
        <sz val="10"/>
        <color rgb="FFBCBEC4"/>
        <rFont val="JetBrains Mono"/>
        <family val="3"/>
      </rPr>
      <t>)</t>
    </r>
  </si>
  <si>
    <r>
      <t>ax1.set_ylim(</t>
    </r>
    <r>
      <rPr>
        <sz val="10"/>
        <color rgb="FF2AACB8"/>
        <rFont val="JetBrains Mono"/>
        <family val="3"/>
      </rPr>
      <t>0</t>
    </r>
    <r>
      <rPr>
        <sz val="10"/>
        <color rgb="FFBCBEC4"/>
        <rFont val="JetBrains Mono"/>
        <family val="3"/>
      </rPr>
      <t xml:space="preserve">, </t>
    </r>
    <r>
      <rPr>
        <sz val="10"/>
        <color rgb="FF2AACB8"/>
        <rFont val="JetBrains Mono"/>
        <family val="3"/>
      </rPr>
      <t>100</t>
    </r>
    <r>
      <rPr>
        <sz val="10"/>
        <color rgb="FFBCBEC4"/>
        <rFont val="JetBrains Mono"/>
        <family val="3"/>
      </rPr>
      <t>)</t>
    </r>
  </si>
  <si>
    <t>ax1.legend()</t>
  </si>
  <si>
    <r>
      <t xml:space="preserve">    </t>
    </r>
    <r>
      <rPr>
        <sz val="8"/>
        <color rgb="FFCE9178"/>
        <rFont val="Consolas"/>
        <family val="3"/>
      </rPr>
      <t>"Naive Bayes"</t>
    </r>
    <r>
      <rPr>
        <sz val="8"/>
        <color rgb="FFCCCCCC"/>
        <rFont val="Consolas"/>
        <family val="3"/>
      </rPr>
      <t>: {</t>
    </r>
  </si>
  <si>
    <r>
      <t xml:space="preserve">        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naivebyas_accuracy</t>
    </r>
    <r>
      <rPr>
        <sz val="8"/>
        <color rgb="FFCCCCCC"/>
        <rFont val="Consolas"/>
        <family val="3"/>
      </rPr>
      <t>,</t>
    </r>
  </si>
  <si>
    <t># Precision-Plot</t>
  </si>
  <si>
    <r>
      <t xml:space="preserve">        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naivebyas_precision</t>
    </r>
    <r>
      <rPr>
        <sz val="8"/>
        <color rgb="FFCCCCCC"/>
        <rFont val="Consolas"/>
        <family val="3"/>
      </rPr>
      <t>,</t>
    </r>
  </si>
  <si>
    <r>
      <t xml:space="preserve">    x = </t>
    </r>
    <r>
      <rPr>
        <sz val="10"/>
        <color rgb="FF8888C6"/>
        <rFont val="JetBrains Mono"/>
        <family val="3"/>
      </rPr>
      <t>range</t>
    </r>
    <r>
      <rPr>
        <sz val="10"/>
        <color rgb="FFBCBEC4"/>
        <rFont val="JetBrains Mono"/>
        <family val="3"/>
      </rPr>
      <t>(</t>
    </r>
    <r>
      <rPr>
        <sz val="10"/>
        <color rgb="FF2AACB8"/>
        <rFont val="JetBrains Mono"/>
        <family val="3"/>
      </rPr>
      <t>1</t>
    </r>
    <r>
      <rPr>
        <sz val="10"/>
        <color rgb="FFBCBEC4"/>
        <rFont val="JetBrains Mono"/>
        <family val="3"/>
      </rPr>
      <t xml:space="preserve">, </t>
    </r>
    <r>
      <rPr>
        <sz val="10"/>
        <color rgb="FF8888C6"/>
        <rFont val="JetBrains Mono"/>
        <family val="3"/>
      </rPr>
      <t>len</t>
    </r>
    <r>
      <rPr>
        <sz val="10"/>
        <color rgb="FFBCBEC4"/>
        <rFont val="JetBrains Mono"/>
        <family val="3"/>
      </rPr>
      <t>(vals[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 xml:space="preserve">]) + </t>
    </r>
    <r>
      <rPr>
        <sz val="10"/>
        <color rgb="FF2AACB8"/>
        <rFont val="JetBrains Mono"/>
        <family val="3"/>
      </rPr>
      <t>1</t>
    </r>
    <r>
      <rPr>
        <sz val="10"/>
        <color rgb="FFBCBEC4"/>
        <rFont val="JetBrains Mono"/>
        <family val="3"/>
      </rPr>
      <t>)</t>
    </r>
  </si>
  <si>
    <r>
      <t xml:space="preserve">    ax2.plot(x, vals[</t>
    </r>
    <r>
      <rPr>
        <sz val="10"/>
        <color rgb="FF6AAB73"/>
        <rFont val="JetBrains Mono"/>
        <family val="3"/>
      </rPr>
      <t>"prec"</t>
    </r>
    <r>
      <rPr>
        <sz val="10"/>
        <color rgb="FFBCBEC4"/>
        <rFont val="JetBrains Mono"/>
        <family val="3"/>
      </rPr>
      <t>],</t>
    </r>
  </si>
  <si>
    <r>
      <t>ax2.set_xlabel(</t>
    </r>
    <r>
      <rPr>
        <sz val="10"/>
        <color rgb="FF6AAB73"/>
        <rFont val="JetBrains Mono"/>
        <family val="3"/>
      </rPr>
      <t>"Index"</t>
    </r>
    <r>
      <rPr>
        <sz val="10"/>
        <color rgb="FFBCBEC4"/>
        <rFont val="JetBrains Mono"/>
        <family val="3"/>
      </rPr>
      <t>)</t>
    </r>
  </si>
  <si>
    <r>
      <t>ax2.set_ylabel(</t>
    </r>
    <r>
      <rPr>
        <sz val="10"/>
        <color rgb="FF6AAB73"/>
        <rFont val="JetBrains Mono"/>
        <family val="3"/>
      </rPr>
      <t>"Precision in %"</t>
    </r>
    <r>
      <rPr>
        <sz val="10"/>
        <color rgb="FFBCBEC4"/>
        <rFont val="JetBrains Mono"/>
        <family val="3"/>
      </rPr>
      <t>)</t>
    </r>
  </si>
  <si>
    <t># 5) Plot 1: links Accuracy, rechts Precision (vs Index)</t>
  </si>
  <si>
    <r>
      <t>ax2.set_ylim(</t>
    </r>
    <r>
      <rPr>
        <sz val="10"/>
        <color rgb="FF2AACB8"/>
        <rFont val="JetBrains Mono"/>
        <family val="3"/>
      </rPr>
      <t>0</t>
    </r>
    <r>
      <rPr>
        <sz val="10"/>
        <color rgb="FFBCBEC4"/>
        <rFont val="JetBrains Mono"/>
        <family val="3"/>
      </rPr>
      <t xml:space="preserve">, </t>
    </r>
    <r>
      <rPr>
        <sz val="10"/>
        <color rgb="FF2AACB8"/>
        <rFont val="JetBrains Mono"/>
        <family val="3"/>
      </rPr>
      <t>100</t>
    </r>
    <r>
      <rPr>
        <sz val="10"/>
        <color rgb="FFBCBEC4"/>
        <rFont val="JetBrains Mono"/>
        <family val="3"/>
      </rPr>
      <t>)</t>
    </r>
  </si>
  <si>
    <t>ax2.legend()</t>
  </si>
  <si>
    <r>
      <t>fig</t>
    </r>
    <r>
      <rPr>
        <sz val="8"/>
        <color rgb="FFCCCCCC"/>
        <rFont val="Consolas"/>
        <family val="3"/>
      </rPr>
      <t>, (</t>
    </r>
    <r>
      <rPr>
        <sz val="8"/>
        <color rgb="FF9CDCFE"/>
        <rFont val="Consolas"/>
        <family val="3"/>
      </rPr>
      <t>ax1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ax2</t>
    </r>
    <r>
      <rPr>
        <sz val="8"/>
        <color rgb="FFCCCCCC"/>
        <rFont val="Consolas"/>
        <family val="3"/>
      </rPr>
      <t xml:space="preserve">)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subplots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figsize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), </t>
    </r>
    <r>
      <rPr>
        <sz val="8"/>
        <color rgb="FF9CDCFE"/>
        <rFont val="Consolas"/>
        <family val="3"/>
      </rPr>
      <t>sharex</t>
    </r>
    <r>
      <rPr>
        <sz val="8"/>
        <color rgb="FFD4D4D4"/>
        <rFont val="Consolas"/>
        <family val="3"/>
      </rPr>
      <t>=</t>
    </r>
    <r>
      <rPr>
        <sz val="8"/>
        <color rgb="FF569CD6"/>
        <rFont val="Consolas"/>
        <family val="3"/>
      </rPr>
      <t>False</t>
    </r>
    <r>
      <rPr>
        <sz val="8"/>
        <color rgb="FFCCCCCC"/>
        <rFont val="Consolas"/>
        <family val="3"/>
      </rPr>
      <t>)</t>
    </r>
  </si>
  <si>
    <t>plt.tight_layout()</t>
  </si>
  <si>
    <t>plt.show()</t>
  </si>
  <si>
    <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name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methods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items</t>
    </r>
    <r>
      <rPr>
        <sz val="8"/>
        <color rgb="FFCCCCCC"/>
        <rFont val="Consolas"/>
        <family val="3"/>
      </rPr>
      <t>():</t>
    </r>
  </si>
  <si>
    <r>
      <t xml:space="preserve">   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range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 xml:space="preserve">])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)</t>
    </r>
  </si>
  <si>
    <r>
      <t xml:space="preserve">    </t>
    </r>
    <r>
      <rPr>
        <sz val="8"/>
        <color rgb="FF9CDCFE"/>
        <rFont val="Consolas"/>
        <family val="3"/>
      </rPr>
      <t>ax1</t>
    </r>
    <r>
      <rPr>
        <sz val="8"/>
        <color rgb="FFCCCCCC"/>
        <rFont val="Consolas"/>
        <family val="3"/>
      </rPr>
      <t>.plot(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>],</t>
    </r>
  </si>
  <si>
    <r>
      <t>             </t>
    </r>
    <r>
      <rPr>
        <sz val="8"/>
        <color rgb="FF9CDCFE"/>
        <rFont val="Consolas"/>
        <family val="3"/>
      </rPr>
      <t>label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name</t>
    </r>
    <r>
      <rPr>
        <sz val="8"/>
        <color rgb="FFCCCCCC"/>
        <rFont val="Consolas"/>
        <family val="3"/>
      </rPr>
      <t>,</t>
    </r>
  </si>
  <si>
    <r>
      <t>             </t>
    </r>
    <r>
      <rPr>
        <sz val="8"/>
        <color rgb="FF9CDCFE"/>
        <rFont val="Consolas"/>
        <family val="3"/>
      </rPr>
      <t>marker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"marker"</t>
    </r>
    <r>
      <rPr>
        <sz val="8"/>
        <color rgb="FFCCCCCC"/>
        <rFont val="Consolas"/>
        <family val="3"/>
      </rPr>
      <t>],</t>
    </r>
  </si>
  <si>
    <r>
      <t>             </t>
    </r>
    <r>
      <rPr>
        <sz val="8"/>
        <color rgb="FF9CDCFE"/>
        <rFont val="Consolas"/>
        <family val="3"/>
      </rPr>
      <t>linestyle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"linestyle"</t>
    </r>
    <r>
      <rPr>
        <sz val="8"/>
        <color rgb="FFCCCCCC"/>
        <rFont val="Consolas"/>
        <family val="3"/>
      </rPr>
      <t>])</t>
    </r>
  </si>
  <si>
    <r>
      <t>ax1</t>
    </r>
    <r>
      <rPr>
        <sz val="8"/>
        <color rgb="FFCCCCCC"/>
        <rFont val="Consolas"/>
        <family val="3"/>
      </rPr>
      <t>.set_xlabel(</t>
    </r>
    <r>
      <rPr>
        <sz val="8"/>
        <color rgb="FFCE9178"/>
        <rFont val="Consolas"/>
        <family val="3"/>
      </rPr>
      <t>"Index"</t>
    </r>
    <r>
      <rPr>
        <sz val="8"/>
        <color rgb="FFCCCCCC"/>
        <rFont val="Consolas"/>
        <family val="3"/>
      </rPr>
      <t>)</t>
    </r>
  </si>
  <si>
    <r>
      <t>ax1</t>
    </r>
    <r>
      <rPr>
        <sz val="8"/>
        <color rgb="FFCCCCCC"/>
        <rFont val="Consolas"/>
        <family val="3"/>
      </rPr>
      <t>.set_ylabel(</t>
    </r>
    <r>
      <rPr>
        <sz val="8"/>
        <color rgb="FFCE9178"/>
        <rFont val="Consolas"/>
        <family val="3"/>
      </rPr>
      <t>"Accuracy in %"</t>
    </r>
    <r>
      <rPr>
        <sz val="8"/>
        <color rgb="FFCCCCCC"/>
        <rFont val="Consolas"/>
        <family val="3"/>
      </rPr>
      <t>)</t>
    </r>
  </si>
  <si>
    <r>
      <t>ax1</t>
    </r>
    <r>
      <rPr>
        <sz val="8"/>
        <color rgb="FFCCCCCC"/>
        <rFont val="Consolas"/>
        <family val="3"/>
      </rPr>
      <t>.set_ylim(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>)</t>
    </r>
  </si>
  <si>
    <r>
      <t>ax1</t>
    </r>
    <r>
      <rPr>
        <sz val="8"/>
        <color rgb="FFCCCCCC"/>
        <rFont val="Consolas"/>
        <family val="3"/>
      </rPr>
      <t>.legend()</t>
    </r>
  </si>
  <si>
    <r>
      <t>ax1</t>
    </r>
    <r>
      <rPr>
        <sz val="8"/>
        <color rgb="FFCCCCCC"/>
        <rFont val="Consolas"/>
        <family val="3"/>
      </rPr>
      <t>.grid(</t>
    </r>
    <r>
      <rPr>
        <sz val="8"/>
        <color rgb="FF569CD6"/>
        <rFont val="Consolas"/>
        <family val="3"/>
      </rPr>
      <t>True</t>
    </r>
    <r>
      <rPr>
        <sz val="8"/>
        <color rgb="FFCCCCCC"/>
        <rFont val="Consolas"/>
        <family val="3"/>
      </rPr>
      <t>)</t>
    </r>
  </si>
  <si>
    <r>
      <t xml:space="preserve">   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range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 xml:space="preserve">])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)</t>
    </r>
  </si>
  <si>
    <r>
      <t xml:space="preserve">    </t>
    </r>
    <r>
      <rPr>
        <sz val="8"/>
        <color rgb="FF9CDCFE"/>
        <rFont val="Consolas"/>
        <family val="3"/>
      </rPr>
      <t>ax2</t>
    </r>
    <r>
      <rPr>
        <sz val="8"/>
        <color rgb="FFCCCCCC"/>
        <rFont val="Consolas"/>
        <family val="3"/>
      </rPr>
      <t>.plot(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vals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"prec"</t>
    </r>
    <r>
      <rPr>
        <sz val="8"/>
        <color rgb="FFCCCCCC"/>
        <rFont val="Consolas"/>
        <family val="3"/>
      </rPr>
      <t>],</t>
    </r>
  </si>
  <si>
    <r>
      <t>ax2</t>
    </r>
    <r>
      <rPr>
        <sz val="8"/>
        <color rgb="FFCCCCCC"/>
        <rFont val="Consolas"/>
        <family val="3"/>
      </rPr>
      <t>.set_xlabel(</t>
    </r>
    <r>
      <rPr>
        <sz val="8"/>
        <color rgb="FFCE9178"/>
        <rFont val="Consolas"/>
        <family val="3"/>
      </rPr>
      <t>"Index"</t>
    </r>
    <r>
      <rPr>
        <sz val="8"/>
        <color rgb="FFCCCCCC"/>
        <rFont val="Consolas"/>
        <family val="3"/>
      </rPr>
      <t>)</t>
    </r>
  </si>
  <si>
    <r>
      <t>ax2</t>
    </r>
    <r>
      <rPr>
        <sz val="8"/>
        <color rgb="FFCCCCCC"/>
        <rFont val="Consolas"/>
        <family val="3"/>
      </rPr>
      <t>.set_ylabel(</t>
    </r>
    <r>
      <rPr>
        <sz val="8"/>
        <color rgb="FFCE9178"/>
        <rFont val="Consolas"/>
        <family val="3"/>
      </rPr>
      <t>"Precision in %"</t>
    </r>
    <r>
      <rPr>
        <sz val="8"/>
        <color rgb="FFCCCCCC"/>
        <rFont val="Consolas"/>
        <family val="3"/>
      </rPr>
      <t>)</t>
    </r>
  </si>
  <si>
    <r>
      <t>ax2</t>
    </r>
    <r>
      <rPr>
        <sz val="8"/>
        <color rgb="FFCCCCCC"/>
        <rFont val="Consolas"/>
        <family val="3"/>
      </rPr>
      <t>.set_ylim(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>)</t>
    </r>
  </si>
  <si>
    <r>
      <t>ax2</t>
    </r>
    <r>
      <rPr>
        <sz val="8"/>
        <color rgb="FFCCCCCC"/>
        <rFont val="Consolas"/>
        <family val="3"/>
      </rPr>
      <t>.legend()</t>
    </r>
  </si>
  <si>
    <r>
      <t>ax2</t>
    </r>
    <r>
      <rPr>
        <sz val="8"/>
        <color rgb="FFCCCCCC"/>
        <rFont val="Consolas"/>
        <family val="3"/>
      </rPr>
      <t>.grid(</t>
    </r>
    <r>
      <rPr>
        <sz val="8"/>
        <color rgb="FF569CD6"/>
        <rFont val="Consolas"/>
        <family val="3"/>
      </rPr>
      <t>True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</si>
  <si>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tight_layout</t>
    </r>
    <r>
      <rPr>
        <sz val="8"/>
        <color rgb="FFCCCCCC"/>
        <rFont val="Consolas"/>
        <family val="3"/>
      </rPr>
      <t>()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</si>
  <si>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show</t>
    </r>
    <r>
      <rPr>
        <sz val="8"/>
        <color rgb="FFCCCCCC"/>
        <rFont val="Consolas"/>
        <family val="3"/>
      </rPr>
      <t>()</t>
    </r>
  </si>
  <si>
    <t># 6) False Negatives pro Algorithmus</t>
  </si>
  <si>
    <r>
      <t>rf_false_negatives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</si>
  <si>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</si>
  <si>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</si>
  <si>
    <t>]</t>
  </si>
  <si>
    <r>
      <t>j48_false_negatives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</si>
  <si>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</si>
  <si>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</si>
  <si>
    <r>
      <t>naive_false_negatives_raw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</si>
  <si>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22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</si>
  <si>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20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</si>
  <si>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</si>
  <si>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</si>
  <si>
    <t># Naive-Bayes-Accuracy hat 35 Werte -&gt; wir kürzen auf 35:</t>
  </si>
  <si>
    <r>
      <t>naive_false_negatives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naive_false_negatives_raw</t>
    </r>
    <r>
      <rPr>
        <sz val="8"/>
        <color rgb="FFCCCCCC"/>
        <rFont val="Consolas"/>
        <family val="3"/>
      </rPr>
      <t>[:</t>
    </r>
    <r>
      <rPr>
        <sz val="8"/>
        <color rgb="FFB5CEA8"/>
        <rFont val="Consolas"/>
        <family val="3"/>
      </rPr>
      <t>35</t>
    </r>
    <r>
      <rPr>
        <sz val="8"/>
        <color rgb="FFCCCCCC"/>
        <rFont val="Consolas"/>
        <family val="3"/>
      </rPr>
      <t>]</t>
    </r>
  </si>
  <si>
    <r>
      <t>bayesnet_false_negatives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</si>
  <si>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</si>
  <si>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</si>
  <si>
    <r>
      <t>oner_false_negatives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</si>
  <si>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28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</si>
  <si>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9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</si>
  <si>
    <r>
      <t>function_false_negatives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</si>
  <si>
    <r>
      <t xml:space="preserve">   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</si>
  <si>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0</t>
    </r>
  </si>
  <si>
    <t># Sicherheitscheck (optional)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</si>
  <si>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"RF  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rf_false_negatives</t>
    </r>
    <r>
      <rPr>
        <sz val="8"/>
        <color rgb="FFCCCCCC"/>
        <rFont val="Consolas"/>
        <family val="3"/>
      </rPr>
      <t xml:space="preserve">),      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rf_accuracy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</si>
  <si>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"J48 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j48_false_negatives</t>
    </r>
    <r>
      <rPr>
        <sz val="8"/>
        <color rgb="FFCCCCCC"/>
        <rFont val="Consolas"/>
        <family val="3"/>
      </rPr>
      <t>),      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j48_accuracy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</si>
  <si>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"NB  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naive_false_negatives</t>
    </r>
    <r>
      <rPr>
        <sz val="8"/>
        <color rgb="FFCCCCCC"/>
        <rFont val="Consolas"/>
        <family val="3"/>
      </rPr>
      <t>),    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naivebyas_accuracy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</si>
  <si>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"BNet:"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bayesnet_false_negatives</t>
    </r>
    <r>
      <rPr>
        <sz val="8"/>
        <color rgb="FFCCCCCC"/>
        <rFont val="Consolas"/>
        <family val="3"/>
      </rPr>
      <t xml:space="preserve">),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bayesnet_accuracy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</si>
  <si>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"OneR:"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oner_false_negatives</t>
    </r>
    <r>
      <rPr>
        <sz val="8"/>
        <color rgb="FFCCCCCC"/>
        <rFont val="Consolas"/>
        <family val="3"/>
      </rPr>
      <t xml:space="preserve">),    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oner_accuracy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</si>
  <si>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"Func:"</t>
    </r>
    <r>
      <rPr>
        <sz val="8"/>
        <color rgb="FFCCCCCC"/>
        <rFont val="Consolas"/>
        <family val="3"/>
      </rPr>
      <t xml:space="preserve">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function_false_negatives</t>
    </r>
    <r>
      <rPr>
        <sz val="8"/>
        <color rgb="FFCCCCCC"/>
        <rFont val="Consolas"/>
        <family val="3"/>
      </rPr>
      <t xml:space="preserve">),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function_accuracy</t>
    </r>
    <r>
      <rPr>
        <sz val="8"/>
        <color rgb="FFCCCCCC"/>
        <rFont val="Consolas"/>
        <family val="3"/>
      </rPr>
      <t>))</t>
    </r>
  </si>
  <si>
    <t># 7) Plot: Accuracy vs False Negatives (alle Algorithmen)</t>
  </si>
  <si>
    <r>
      <t>algorithms_fn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</si>
  <si>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rf_false_negatives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</si>
  <si>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j48_false_negatives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</si>
  <si>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naive_false_negatives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</si>
  <si>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bayesnet_false_negatives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</si>
  <si>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oner_false_negatives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</si>
  <si>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function_false_negatives</t>
    </r>
    <r>
      <rPr>
        <sz val="8"/>
        <color rgb="FFCCCCCC"/>
        <rFont val="Consolas"/>
        <family val="3"/>
      </rPr>
      <t>,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</si>
  <si>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figure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figsize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))</t>
    </r>
  </si>
  <si>
    <r>
      <t>markers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CE9178"/>
        <rFont val="Consolas"/>
        <family val="3"/>
      </rPr>
      <t>'o'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'^'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'x'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'+'</t>
    </r>
    <r>
      <rPr>
        <sz val="8"/>
        <color rgb="FFCCCCCC"/>
        <rFont val="Consolas"/>
        <family val="3"/>
      </rPr>
      <t>]</t>
    </r>
  </si>
  <si>
    <r>
      <t>linestyles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CE9178"/>
        <rFont val="Consolas"/>
        <family val="3"/>
      </rPr>
      <t>'-'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'--'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'-.'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':'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'-'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'--'</t>
    </r>
    <r>
      <rPr>
        <sz val="8"/>
        <color rgb="FFCCCCCC"/>
        <rFont val="Consolas"/>
        <family val="3"/>
      </rPr>
      <t>]</t>
    </r>
  </si>
  <si>
    <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i</t>
    </r>
    <r>
      <rPr>
        <sz val="8"/>
        <color rgb="FFCCCCCC"/>
        <rFont val="Consolas"/>
        <family val="3"/>
      </rPr>
      <t>, (</t>
    </r>
    <r>
      <rPr>
        <sz val="8"/>
        <color rgb="FF9CDCFE"/>
        <rFont val="Consolas"/>
        <family val="3"/>
      </rPr>
      <t>name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data</t>
    </r>
    <r>
      <rPr>
        <sz val="8"/>
        <color rgb="FFCCCCCC"/>
        <rFont val="Consolas"/>
        <family val="3"/>
      </rPr>
      <t xml:space="preserve">)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enumerate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algorithms_fn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items</t>
    </r>
    <r>
      <rPr>
        <sz val="8"/>
        <color rgb="FFCCCCCC"/>
        <rFont val="Consolas"/>
        <family val="3"/>
      </rPr>
      <t>()):</t>
    </r>
  </si>
  <si>
    <r>
      <t xml:space="preserve">    </t>
    </r>
    <r>
      <rPr>
        <sz val="8"/>
        <color rgb="FF9CDCFE"/>
        <rFont val="Consolas"/>
        <family val="3"/>
      </rPr>
      <t>fn</t>
    </r>
    <r>
      <rPr>
        <sz val="8"/>
        <color rgb="FFCCCCCC"/>
        <rFont val="Consolas"/>
        <family val="3"/>
      </rPr>
      <t xml:space="preserve">  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data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"fn"</t>
    </r>
    <r>
      <rPr>
        <sz val="8"/>
        <color rgb="FFCCCCCC"/>
        <rFont val="Consolas"/>
        <family val="3"/>
      </rPr>
      <t>]</t>
    </r>
  </si>
  <si>
    <r>
      <t xml:space="preserve">    </t>
    </r>
    <r>
      <rPr>
        <sz val="8"/>
        <color rgb="FF9CDCFE"/>
        <rFont val="Consolas"/>
        <family val="3"/>
      </rPr>
      <t>acc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data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"acc"</t>
    </r>
    <r>
      <rPr>
        <sz val="8"/>
        <color rgb="FFCCCCCC"/>
        <rFont val="Consolas"/>
        <family val="3"/>
      </rPr>
      <t>]</t>
    </r>
  </si>
  <si>
    <r>
      <t xml:space="preserve">   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fn</t>
    </r>
    <r>
      <rPr>
        <sz val="8"/>
        <color rgb="FFCCCCCC"/>
        <rFont val="Consolas"/>
        <family val="3"/>
      </rPr>
      <t xml:space="preserve">)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acc</t>
    </r>
    <r>
      <rPr>
        <sz val="8"/>
        <color rgb="FFCCCCCC"/>
        <rFont val="Consolas"/>
        <family val="3"/>
      </rPr>
      <t>):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</si>
  <si>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f</t>
    </r>
    <r>
      <rPr>
        <sz val="8"/>
        <color rgb="FFCE9178"/>
        <rFont val="Consolas"/>
        <family val="3"/>
      </rPr>
      <t xml:space="preserve">"Achtung: Längen passen nicht bei </t>
    </r>
    <r>
      <rPr>
        <sz val="8"/>
        <color rgb="FF569CD6"/>
        <rFont val="Consolas"/>
        <family val="3"/>
      </rPr>
      <t>{</t>
    </r>
    <r>
      <rPr>
        <sz val="8"/>
        <color rgb="FF9CDCFE"/>
        <rFont val="Consolas"/>
        <family val="3"/>
      </rPr>
      <t>name</t>
    </r>
    <r>
      <rPr>
        <sz val="8"/>
        <color rgb="FF569CD6"/>
        <rFont val="Consolas"/>
        <family val="3"/>
      </rPr>
      <t>}</t>
    </r>
    <r>
      <rPr>
        <sz val="8"/>
        <color rgb="FFCE9178"/>
        <rFont val="Consolas"/>
        <family val="3"/>
      </rPr>
      <t xml:space="preserve"> (FN=</t>
    </r>
    <r>
      <rPr>
        <sz val="8"/>
        <color rgb="FF569CD6"/>
        <rFont val="Consolas"/>
        <family val="3"/>
      </rPr>
      <t>{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fn</t>
    </r>
    <r>
      <rPr>
        <sz val="8"/>
        <color rgb="FFCCCCCC"/>
        <rFont val="Consolas"/>
        <family val="3"/>
      </rPr>
      <t>)</t>
    </r>
    <r>
      <rPr>
        <sz val="8"/>
        <color rgb="FF569CD6"/>
        <rFont val="Consolas"/>
        <family val="3"/>
      </rPr>
      <t>}</t>
    </r>
    <r>
      <rPr>
        <sz val="8"/>
        <color rgb="FFCE9178"/>
        <rFont val="Consolas"/>
        <family val="3"/>
      </rPr>
      <t>, ACC=</t>
    </r>
    <r>
      <rPr>
        <sz val="8"/>
        <color rgb="FF569CD6"/>
        <rFont val="Consolas"/>
        <family val="3"/>
      </rPr>
      <t>{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acc</t>
    </r>
    <r>
      <rPr>
        <sz val="8"/>
        <color rgb="FFCCCCCC"/>
        <rFont val="Consolas"/>
        <family val="3"/>
      </rPr>
      <t>)</t>
    </r>
    <r>
      <rPr>
        <sz val="8"/>
        <color rgb="FF569CD6"/>
        <rFont val="Consolas"/>
        <family val="3"/>
      </rPr>
      <t>}</t>
    </r>
    <r>
      <rPr>
        <sz val="8"/>
        <color rgb="FFCE9178"/>
        <rFont val="Consolas"/>
        <family val="3"/>
      </rPr>
      <t>)"</t>
    </r>
    <r>
      <rPr>
        <sz val="8"/>
        <color rgb="FFCCCCCC"/>
        <rFont val="Consolas"/>
        <family val="3"/>
      </rPr>
      <t>)</t>
    </r>
  </si>
  <si>
    <r>
      <t xml:space="preserve">        </t>
    </r>
    <r>
      <rPr>
        <sz val="8"/>
        <color rgb="FFC586C0"/>
        <rFont val="Consolas"/>
        <family val="3"/>
      </rPr>
      <t>continue</t>
    </r>
  </si>
  <si>
    <r>
      <t xml:space="preserve">    </t>
    </r>
    <r>
      <rPr>
        <sz val="8"/>
        <color rgb="FF4EC9B0"/>
        <rFont val="Consolas"/>
        <family val="3"/>
      </rP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plot</t>
    </r>
    <r>
      <rPr>
        <sz val="8"/>
        <color rgb="FFCCCCCC"/>
        <rFont val="Consolas"/>
        <family val="3"/>
      </rPr>
      <t>(</t>
    </r>
  </si>
  <si>
    <r>
      <t xml:space="preserve">        </t>
    </r>
    <r>
      <rPr>
        <sz val="8"/>
        <color rgb="FF9CDCFE"/>
        <rFont val="Consolas"/>
        <family val="3"/>
      </rPr>
      <t>fn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</si>
  <si>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acc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</si>
  <si>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marker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markers</t>
    </r>
    <r>
      <rPr>
        <sz val="8"/>
        <color rgb="FFCCCCCC"/>
        <rFont val="Consolas"/>
        <family val="3"/>
      </rPr>
      <t>[</t>
    </r>
    <r>
      <rPr>
        <sz val="8"/>
        <color rgb="FF9CDCFE"/>
        <rFont val="Consolas"/>
        <family val="3"/>
      </rPr>
      <t>i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markers</t>
    </r>
    <r>
      <rPr>
        <sz val="8"/>
        <color rgb="FFCCCCCC"/>
        <rFont val="Consolas"/>
        <family val="3"/>
      </rPr>
      <t>)],</t>
    </r>
  </si>
  <si>
    <r>
      <t xml:space="preserve">        </t>
    </r>
    <r>
      <rPr>
        <sz val="8"/>
        <color rgb="FF9CDCFE"/>
        <rFont val="Consolas"/>
        <family val="3"/>
      </rPr>
      <t>linestyle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linestyles</t>
    </r>
    <r>
      <rPr>
        <sz val="8"/>
        <color rgb="FFCCCCCC"/>
        <rFont val="Consolas"/>
        <family val="3"/>
      </rPr>
      <t>[</t>
    </r>
    <r>
      <rPr>
        <sz val="8"/>
        <color rgb="FF9CDCFE"/>
        <rFont val="Consolas"/>
        <family val="3"/>
      </rPr>
      <t>i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linestyles</t>
    </r>
    <r>
      <rPr>
        <sz val="8"/>
        <color rgb="FFCCCCCC"/>
        <rFont val="Consolas"/>
        <family val="3"/>
      </rPr>
      <t>)],</t>
    </r>
  </si>
  <si>
    <r>
      <t xml:space="preserve">        </t>
    </r>
    <r>
      <rPr>
        <sz val="8"/>
        <color rgb="FF9CDCFE"/>
        <rFont val="Consolas"/>
        <family val="3"/>
      </rPr>
      <t>label</t>
    </r>
    <r>
      <rPr>
        <sz val="8"/>
        <color rgb="FFD4D4D4"/>
        <rFont val="Consolas"/>
        <family val="3"/>
      </rPr>
      <t>=</t>
    </r>
    <r>
      <rPr>
        <sz val="8"/>
        <color rgb="FF9CDCFE"/>
        <rFont val="Consolas"/>
        <family val="3"/>
      </rPr>
      <t>name</t>
    </r>
  </si>
  <si>
    <t>    )</t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</si>
  <si>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xlabel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"False Negatives"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</si>
  <si>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ylabel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"Accuracy in %"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</si>
  <si>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title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"Accuracy vs. False Negatives für alle Algorithmen"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</si>
  <si>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ylim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</si>
  <si>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grid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True</t>
    </r>
    <r>
      <rPr>
        <sz val="8"/>
        <color rgb="FFCCCCCC"/>
        <rFont val="Consolas"/>
        <family val="3"/>
      </rPr>
      <t>)</t>
    </r>
  </si>
  <si>
    <r>
      <t>plt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legend</t>
    </r>
    <r>
      <rPr>
        <sz val="8"/>
        <color rgb="FFCCCCCC"/>
        <rFont val="Consolas"/>
        <family val="3"/>
      </rPr>
      <t>()</t>
    </r>
  </si>
  <si>
    <t>True Positive</t>
  </si>
  <si>
    <t>True Negative</t>
  </si>
  <si>
    <t>Recall</t>
  </si>
  <si>
    <t>Precision</t>
  </si>
  <si>
    <t>RandomForest (CostMatrix 2 zu 1)</t>
  </si>
  <si>
    <t>RandomForest (CostMatrix 3 zu 1)</t>
  </si>
  <si>
    <t>RandomForest (CostMatrix 4 zu 1)</t>
  </si>
  <si>
    <t>RandomForest (CostMatrix 6 zu 1)</t>
  </si>
  <si>
    <t>RandomForest (CostMatrix 7 zu 1)</t>
  </si>
  <si>
    <t>RandomForest (CostMatrix 13 zu 1)</t>
  </si>
  <si>
    <t>RandomForest (CostMatrix 14 zu 1)</t>
  </si>
  <si>
    <t>RandomForest (CostMatrix 16 zu 1)</t>
  </si>
  <si>
    <t>RandomForest (CostMatrix 17zu 1)</t>
  </si>
  <si>
    <t>RandomForest (CostMatrix 18 zu 1)</t>
  </si>
  <si>
    <t>RandomForest (CostMatrix 19 zu 1)</t>
  </si>
  <si>
    <t>RandomForest (CostMatrix 21 zu 1)</t>
  </si>
  <si>
    <t>RandomForest (CostMatrix 22 zu 1)</t>
  </si>
  <si>
    <t>RandomForest (CostMatrix 23 zu 1)</t>
  </si>
  <si>
    <t>%</t>
  </si>
  <si>
    <t>RandomForest (CostMatrix 24 zu 1)</t>
  </si>
  <si>
    <t>RandomForest (CostMatrix 43 zu 1)</t>
  </si>
  <si>
    <t>RandomForest (CostMatrix 44 zu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</si>
</sst>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0"/>
      <color rgb="FFBCBEC4"/>
      <name val="JetBrains Mono"/>
      <family val="3"/>
    </font>
    <font>
      <sz val="10"/>
      <color rgb="FFCF8E6D"/>
      <name val="JetBrains Mono"/>
      <family val="3"/>
    </font>
    <font>
      <sz val="10"/>
      <color rgb="FF7A7E85"/>
      <name val="JetBrains Mono"/>
      <family val="3"/>
    </font>
    <font>
      <sz val="10"/>
      <color rgb="FF56A8F5"/>
      <name val="JetBrains Mono"/>
      <family val="3"/>
    </font>
    <font>
      <sz val="10"/>
      <color rgb="FF6AAB73"/>
      <name val="JetBrains Mono"/>
      <family val="3"/>
    </font>
    <font>
      <sz val="10"/>
      <color rgb="FF8888C6"/>
      <name val="JetBrains Mono"/>
      <family val="3"/>
    </font>
    <font>
      <sz val="10"/>
      <color rgb="FF2AACB8"/>
      <name val="JetBrains Mono"/>
      <family val="3"/>
    </font>
    <font>
      <sz val="10"/>
      <color rgb="FFAA4926"/>
      <name val="JetBrains Mono"/>
      <family val="3"/>
    </font>
    <font>
      <sz val="8"/>
      <color rgb="FFCCCCCC"/>
      <name val="Consolas"/>
      <family val="3"/>
    </font>
    <font>
      <sz val="8"/>
      <color rgb="FFC586C0"/>
      <name val="Consolas"/>
      <family val="3"/>
    </font>
    <font>
      <sz val="8"/>
      <color rgb="FF4EC9B0"/>
      <name val="Consolas"/>
      <family val="3"/>
    </font>
    <font>
      <sz val="8"/>
      <color rgb="FF6A9955"/>
      <name val="Consolas"/>
      <family val="3"/>
    </font>
    <font>
      <sz val="8"/>
      <color rgb="FF569CD6"/>
      <name val="Consolas"/>
      <family val="3"/>
    </font>
    <font>
      <sz val="8"/>
      <color rgb="FFDCDCAA"/>
      <name val="Consolas"/>
      <family val="3"/>
    </font>
    <font>
      <sz val="8"/>
      <color rgb="FF9CDCFE"/>
      <name val="Consolas"/>
      <family val="3"/>
    </font>
    <font>
      <sz val="8"/>
      <color rgb="FFD4D4D4"/>
      <name val="Consolas"/>
      <family val="3"/>
    </font>
    <font>
      <sz val="8"/>
      <color rgb="FFCE9178"/>
      <name val="Consolas"/>
      <family val="3"/>
    </font>
    <font>
      <sz val="8"/>
      <color rgb="FFB5CEA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1F1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0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0" fontId="0" fillId="2" borderId="0" xfId="0" applyNumberFormat="1" applyFill="1"/>
    <xf numFmtId="3" fontId="0" fillId="0" borderId="0" xfId="0" applyNumberFormat="1"/>
    <xf numFmtId="10" fontId="0" fillId="3" borderId="0" xfId="0" applyNumberFormat="1" applyFill="1"/>
    <xf numFmtId="3" fontId="0" fillId="2" borderId="0" xfId="0" applyNumberFormat="1" applyFill="1"/>
    <xf numFmtId="0" fontId="0" fillId="4" borderId="0" xfId="0" applyFill="1"/>
    <xf numFmtId="2" fontId="0" fillId="0" borderId="0" xfId="0" applyNumberFormat="1"/>
    <xf numFmtId="2" fontId="0" fillId="4" borderId="0" xfId="0" applyNumberFormat="1" applyFill="1"/>
    <xf numFmtId="2" fontId="0" fillId="2" borderId="0" xfId="0" applyNumberFormat="1" applyFill="1"/>
    <xf numFmtId="164" fontId="1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False Negative</a:t>
            </a:r>
            <a:r>
              <a:rPr lang="en-US" baseline="0"/>
              <a:t> to False Positive 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'RandomForest_1.VErsuch'!$B$2:$B$13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100</c:v>
                </c:pt>
                <c:pt idx="11">
                  <c:v>242</c:v>
                </c:pt>
              </c:numCache>
            </c:numRef>
          </c:cat>
          <c:val>
            <c:numRef>
              <c:f>'RandomForest_1.VErsuch'!$E$2:$E$13</c:f>
              <c:numCache>
                <c:formatCode>General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3-436F-8011-A84F0BF4CD81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'RandomForest_1.VErsuch'!$B$2:$B$13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100</c:v>
                </c:pt>
                <c:pt idx="11">
                  <c:v>242</c:v>
                </c:pt>
              </c:numCache>
            </c:numRef>
          </c:cat>
          <c:val>
            <c:numRef>
              <c:f>'RandomForest_1.VErsuch'!$F$2:$F$13</c:f>
              <c:numCache>
                <c:formatCode>General</c:formatCode>
                <c:ptCount val="12"/>
                <c:pt idx="0">
                  <c:v>9</c:v>
                </c:pt>
                <c:pt idx="1">
                  <c:v>20</c:v>
                </c:pt>
                <c:pt idx="2">
                  <c:v>30</c:v>
                </c:pt>
                <c:pt idx="3">
                  <c:v>33</c:v>
                </c:pt>
                <c:pt idx="4">
                  <c:v>35</c:v>
                </c:pt>
                <c:pt idx="5">
                  <c:v>39</c:v>
                </c:pt>
                <c:pt idx="6">
                  <c:v>38</c:v>
                </c:pt>
                <c:pt idx="7">
                  <c:v>42</c:v>
                </c:pt>
                <c:pt idx="8">
                  <c:v>49</c:v>
                </c:pt>
                <c:pt idx="9">
                  <c:v>57</c:v>
                </c:pt>
                <c:pt idx="10">
                  <c:v>151</c:v>
                </c:pt>
                <c:pt idx="11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3-436F-8011-A84F0BF4CD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9703151"/>
        <c:axId val="1489703631"/>
      </c:lineChart>
      <c:catAx>
        <c:axId val="1489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03631"/>
        <c:crosses val="autoZero"/>
        <c:auto val="1"/>
        <c:lblAlgn val="ctr"/>
        <c:lblOffset val="100"/>
        <c:noMultiLvlLbl val="0"/>
      </c:catAx>
      <c:valAx>
        <c:axId val="1489703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97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'RandomForest_1.VErsuch'!$B$2:$B$13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100</c:v>
                </c:pt>
                <c:pt idx="11">
                  <c:v>242</c:v>
                </c:pt>
              </c:numCache>
            </c:numRef>
          </c:cat>
          <c:val>
            <c:numRef>
              <c:f>'RandomForest_1.VErsuch'!$G$2:$G$13</c:f>
              <c:numCache>
                <c:formatCode>0.0000%</c:formatCode>
                <c:ptCount val="12"/>
                <c:pt idx="0">
                  <c:v>0.95782100000000003</c:v>
                </c:pt>
                <c:pt idx="1">
                  <c:v>0.95079100000000005</c:v>
                </c:pt>
                <c:pt idx="2">
                  <c:v>0.93673099999999998</c:v>
                </c:pt>
                <c:pt idx="3">
                  <c:v>0.93321600000000005</c:v>
                </c:pt>
                <c:pt idx="4">
                  <c:v>0.93145900000000004</c:v>
                </c:pt>
                <c:pt idx="5">
                  <c:v>0.92442899999999995</c:v>
                </c:pt>
                <c:pt idx="6">
                  <c:v>0.92442899999999995</c:v>
                </c:pt>
                <c:pt idx="7">
                  <c:v>0.91739899999999996</c:v>
                </c:pt>
                <c:pt idx="8">
                  <c:v>0.90509700000000004</c:v>
                </c:pt>
                <c:pt idx="9">
                  <c:v>0.89279399999999998</c:v>
                </c:pt>
                <c:pt idx="10">
                  <c:v>0.73286499999999999</c:v>
                </c:pt>
                <c:pt idx="11">
                  <c:v>0.53427100000000005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2-40DE-92C7-628F36A9B8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3285439"/>
        <c:axId val="423285919"/>
      </c:lineChart>
      <c:catAx>
        <c:axId val="42328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85919"/>
        <c:crosses val="autoZero"/>
        <c:auto val="1"/>
        <c:lblAlgn val="ctr"/>
        <c:lblOffset val="100"/>
        <c:noMultiLvlLbl val="0"/>
      </c:catAx>
      <c:valAx>
        <c:axId val="423285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crossAx val="42328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False Negative</a:t>
            </a:r>
            <a:r>
              <a:rPr lang="en-US" baseline="0"/>
              <a:t> to False Positive 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'(lena) RandomForest (10-CF)'!$E$2:$E$26</c:f>
              <c:strCache>
                <c:ptCount val="25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'(lena) RandomForest (10-CF)'!$B$2:$B$26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'(lena) RandomForest (10-CF)'!$E$2:$E$26</c:f>
              <c:numCache>
                <c:formatCode>General</c:formatCode>
                <c:ptCount val="25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8-45F0-93D1-1473F4BEAAA4}"/>
            </c:ext>
          </c:extLst>
        </c:ser>
        <c:ser>
          <c:idx val="1"/>
          <c:order val="1"/>
          <c:tx>
            <c:strRef>
              <c:f>'(lena) RandomForest (10-CF)'!$F$5:$F$39</c:f>
              <c:strCache>
                <c:ptCount val="35"/>
                <c:pt idx="0">
                  <c:v>17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33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41</c:v>
                </c:pt>
                <c:pt idx="9">
                  <c:v>45</c:v>
                </c:pt>
                <c:pt idx="10">
                  <c:v>42</c:v>
                </c:pt>
                <c:pt idx="11">
                  <c:v>45</c:v>
                </c:pt>
                <c:pt idx="12">
                  <c:v>46</c:v>
                </c:pt>
                <c:pt idx="13">
                  <c:v>48</c:v>
                </c:pt>
                <c:pt idx="14">
                  <c:v>47</c:v>
                </c:pt>
                <c:pt idx="15">
                  <c:v>46</c:v>
                </c:pt>
                <c:pt idx="16">
                  <c:v>49</c:v>
                </c:pt>
                <c:pt idx="17">
                  <c:v>54</c:v>
                </c:pt>
                <c:pt idx="18">
                  <c:v>58</c:v>
                </c:pt>
                <c:pt idx="19">
                  <c:v>54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64</c:v>
                </c:pt>
                <c:pt idx="24">
                  <c:v>62</c:v>
                </c:pt>
                <c:pt idx="25">
                  <c:v>61</c:v>
                </c:pt>
                <c:pt idx="26">
                  <c:v>66</c:v>
                </c:pt>
                <c:pt idx="27">
                  <c:v>65</c:v>
                </c:pt>
                <c:pt idx="28">
                  <c:v>71</c:v>
                </c:pt>
                <c:pt idx="29">
                  <c:v>68</c:v>
                </c:pt>
                <c:pt idx="30">
                  <c:v>72</c:v>
                </c:pt>
                <c:pt idx="31">
                  <c:v>75</c:v>
                </c:pt>
                <c:pt idx="32">
                  <c:v>137</c:v>
                </c:pt>
                <c:pt idx="33">
                  <c:v>265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'(lena) RandomForest (10-CF)'!$B$2:$B$26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'(lena) RandomForest (10-CF)'!$F$2:$F$26</c:f>
              <c:numCache>
                <c:formatCode>General</c:formatCode>
                <c:ptCount val="25"/>
                <c:pt idx="0">
                  <c:v>9</c:v>
                </c:pt>
                <c:pt idx="1">
                  <c:v>9</c:v>
                </c:pt>
                <c:pt idx="2">
                  <c:v>15</c:v>
                </c:pt>
                <c:pt idx="3">
                  <c:v>17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33</c:v>
                </c:pt>
                <c:pt idx="8">
                  <c:v>35</c:v>
                </c:pt>
                <c:pt idx="9">
                  <c:v>39</c:v>
                </c:pt>
                <c:pt idx="10">
                  <c:v>38</c:v>
                </c:pt>
                <c:pt idx="11">
                  <c:v>41</c:v>
                </c:pt>
                <c:pt idx="12">
                  <c:v>45</c:v>
                </c:pt>
                <c:pt idx="13">
                  <c:v>42</c:v>
                </c:pt>
                <c:pt idx="14">
                  <c:v>45</c:v>
                </c:pt>
                <c:pt idx="15">
                  <c:v>46</c:v>
                </c:pt>
                <c:pt idx="16">
                  <c:v>48</c:v>
                </c:pt>
                <c:pt idx="17">
                  <c:v>47</c:v>
                </c:pt>
                <c:pt idx="18">
                  <c:v>46</c:v>
                </c:pt>
                <c:pt idx="19">
                  <c:v>49</c:v>
                </c:pt>
                <c:pt idx="20">
                  <c:v>54</c:v>
                </c:pt>
                <c:pt idx="21">
                  <c:v>58</c:v>
                </c:pt>
                <c:pt idx="22">
                  <c:v>54</c:v>
                </c:pt>
                <c:pt idx="23">
                  <c:v>56</c:v>
                </c:pt>
                <c:pt idx="2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8-45F0-93D1-1473F4BEAA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9703151"/>
        <c:axId val="1489703631"/>
      </c:lineChart>
      <c:catAx>
        <c:axId val="1489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03631"/>
        <c:crosses val="autoZero"/>
        <c:auto val="1"/>
        <c:lblAlgn val="ctr"/>
        <c:lblOffset val="100"/>
        <c:noMultiLvlLbl val="0"/>
      </c:catAx>
      <c:valAx>
        <c:axId val="1489703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97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'(lena) RandomForest (10-CF)'!$I$2:$I$26</c:f>
              <c:strCache>
                <c:ptCount val="25"/>
                <c:pt idx="0">
                  <c:v>95,7821%</c:v>
                </c:pt>
                <c:pt idx="1">
                  <c:v>9666,0800%</c:v>
                </c:pt>
                <c:pt idx="2">
                  <c:v>95,9578%</c:v>
                </c:pt>
                <c:pt idx="3">
                  <c:v>95,7821%</c:v>
                </c:pt>
                <c:pt idx="4">
                  <c:v>95,0791%</c:v>
                </c:pt>
                <c:pt idx="5">
                  <c:v>94,5518%</c:v>
                </c:pt>
                <c:pt idx="6">
                  <c:v>93,6731%</c:v>
                </c:pt>
                <c:pt idx="7">
                  <c:v>93,3216%</c:v>
                </c:pt>
                <c:pt idx="8">
                  <c:v>93,1459%</c:v>
                </c:pt>
                <c:pt idx="9">
                  <c:v>92,4429%</c:v>
                </c:pt>
                <c:pt idx="10">
                  <c:v>92,4429%</c:v>
                </c:pt>
                <c:pt idx="11">
                  <c:v>91,9156%</c:v>
                </c:pt>
                <c:pt idx="12">
                  <c:v>91,2127%</c:v>
                </c:pt>
                <c:pt idx="13">
                  <c:v>91,7399%</c:v>
                </c:pt>
                <c:pt idx="14">
                  <c:v>91,3884%</c:v>
                </c:pt>
                <c:pt idx="15">
                  <c:v>91,2127%</c:v>
                </c:pt>
                <c:pt idx="16">
                  <c:v>90,8612%</c:v>
                </c:pt>
                <c:pt idx="17">
                  <c:v>91,0369%</c:v>
                </c:pt>
                <c:pt idx="18">
                  <c:v>91,3884%</c:v>
                </c:pt>
                <c:pt idx="19">
                  <c:v>90,5097%</c:v>
                </c:pt>
                <c:pt idx="20">
                  <c:v>89,6309%</c:v>
                </c:pt>
                <c:pt idx="21">
                  <c:v>89,1037%</c:v>
                </c:pt>
                <c:pt idx="22">
                  <c:v>89,8067%</c:v>
                </c:pt>
                <c:pt idx="23">
                  <c:v>89,6309%</c:v>
                </c:pt>
                <c:pt idx="24">
                  <c:v>89,2794%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'(lena) RandomForest (10-CF)'!$B$2:$B$26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'(lena) RandomForest (10-CF)'!$I$2:$I$26</c:f>
              <c:numCache>
                <c:formatCode>0.0000%</c:formatCode>
                <c:ptCount val="25"/>
                <c:pt idx="0">
                  <c:v>0.95782100000000003</c:v>
                </c:pt>
                <c:pt idx="1">
                  <c:v>96.660799999999995</c:v>
                </c:pt>
                <c:pt idx="2">
                  <c:v>0.95957800000000004</c:v>
                </c:pt>
                <c:pt idx="3">
                  <c:v>0.95782100000000003</c:v>
                </c:pt>
                <c:pt idx="4">
                  <c:v>0.95079100000000005</c:v>
                </c:pt>
                <c:pt idx="5">
                  <c:v>0.94551799999999997</c:v>
                </c:pt>
                <c:pt idx="6">
                  <c:v>0.93673099999999998</c:v>
                </c:pt>
                <c:pt idx="7">
                  <c:v>0.93321600000000005</c:v>
                </c:pt>
                <c:pt idx="8">
                  <c:v>0.93145900000000004</c:v>
                </c:pt>
                <c:pt idx="9">
                  <c:v>0.92442899999999995</c:v>
                </c:pt>
                <c:pt idx="10">
                  <c:v>0.92442899999999995</c:v>
                </c:pt>
                <c:pt idx="11">
                  <c:v>0.91915599999999997</c:v>
                </c:pt>
                <c:pt idx="12">
                  <c:v>0.91212700000000002</c:v>
                </c:pt>
                <c:pt idx="13">
                  <c:v>0.91739899999999996</c:v>
                </c:pt>
                <c:pt idx="14">
                  <c:v>0.91388400000000003</c:v>
                </c:pt>
                <c:pt idx="15">
                  <c:v>0.91212700000000002</c:v>
                </c:pt>
                <c:pt idx="16">
                  <c:v>0.90861199999999998</c:v>
                </c:pt>
                <c:pt idx="17">
                  <c:v>0.91036899999999998</c:v>
                </c:pt>
                <c:pt idx="18">
                  <c:v>0.91388400000000003</c:v>
                </c:pt>
                <c:pt idx="19">
                  <c:v>0.90509700000000004</c:v>
                </c:pt>
                <c:pt idx="20">
                  <c:v>0.89630900000000002</c:v>
                </c:pt>
                <c:pt idx="21">
                  <c:v>0.89103699999999997</c:v>
                </c:pt>
                <c:pt idx="22">
                  <c:v>0.89806699999999995</c:v>
                </c:pt>
                <c:pt idx="23">
                  <c:v>0.89630900000000002</c:v>
                </c:pt>
                <c:pt idx="24">
                  <c:v>0.89279399999999998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A-4924-9B79-802F9133FC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3285439"/>
        <c:axId val="423285919"/>
      </c:lineChart>
      <c:catAx>
        <c:axId val="42328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85919"/>
        <c:crosses val="autoZero"/>
        <c:auto val="1"/>
        <c:lblAlgn val="ctr"/>
        <c:lblOffset val="100"/>
        <c:noMultiLvlLbl val="0"/>
      </c:catAx>
      <c:valAx>
        <c:axId val="423285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crossAx val="42328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False Negative</a:t>
            </a:r>
            <a:r>
              <a:rPr lang="en-US" baseline="0"/>
              <a:t> to False Positive 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'RandomForest (percentage split)'!$E$2:$E$26</c:f>
              <c:strCache>
                <c:ptCount val="25"/>
                <c:pt idx="0">
                  <c:v>22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 (percentage split)'!$B$2:$B$26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'RandomForest (percentage split)'!$E$2:$E$26</c:f>
              <c:numCache>
                <c:formatCode>General</c:formatCode>
                <c:ptCount val="25"/>
                <c:pt idx="0">
                  <c:v>22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4-4A51-9C47-AEEA1FFBD7AA}"/>
            </c:ext>
          </c:extLst>
        </c:ser>
        <c:ser>
          <c:idx val="1"/>
          <c:order val="1"/>
          <c:tx>
            <c:strRef>
              <c:f>'RandomForest (percentage split)'!$F$5:$F$29</c:f>
              <c:strCache>
                <c:ptCount val="25"/>
                <c:pt idx="0">
                  <c:v>18</c:v>
                </c:pt>
                <c:pt idx="1">
                  <c:v>24</c:v>
                </c:pt>
                <c:pt idx="2">
                  <c:v>25</c:v>
                </c:pt>
                <c:pt idx="3">
                  <c:v>31</c:v>
                </c:pt>
                <c:pt idx="4">
                  <c:v>38</c:v>
                </c:pt>
                <c:pt idx="5">
                  <c:v>38</c:v>
                </c:pt>
                <c:pt idx="6">
                  <c:v>52</c:v>
                </c:pt>
                <c:pt idx="7">
                  <c:v>52</c:v>
                </c:pt>
                <c:pt idx="8">
                  <c:v>55</c:v>
                </c:pt>
                <c:pt idx="9">
                  <c:v>57</c:v>
                </c:pt>
                <c:pt idx="10">
                  <c:v>62</c:v>
                </c:pt>
                <c:pt idx="11">
                  <c:v>63</c:v>
                </c:pt>
                <c:pt idx="12">
                  <c:v>66</c:v>
                </c:pt>
                <c:pt idx="13">
                  <c:v>68</c:v>
                </c:pt>
                <c:pt idx="14">
                  <c:v>66</c:v>
                </c:pt>
                <c:pt idx="15">
                  <c:v>78</c:v>
                </c:pt>
                <c:pt idx="16">
                  <c:v>77</c:v>
                </c:pt>
                <c:pt idx="17">
                  <c:v>83</c:v>
                </c:pt>
                <c:pt idx="18">
                  <c:v>93</c:v>
                </c:pt>
                <c:pt idx="19">
                  <c:v>99</c:v>
                </c:pt>
                <c:pt idx="20">
                  <c:v>105</c:v>
                </c:pt>
                <c:pt idx="21">
                  <c:v>111</c:v>
                </c:pt>
                <c:pt idx="22">
                  <c:v>178</c:v>
                </c:pt>
                <c:pt idx="23">
                  <c:v>199</c:v>
                </c:pt>
                <c:pt idx="24">
                  <c:v>320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 (percentage split)'!$B$2:$B$26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'RandomForest (percentage split)'!$F$2:$F$26</c:f>
              <c:numCache>
                <c:formatCode>General</c:formatCode>
                <c:ptCount val="25"/>
                <c:pt idx="0">
                  <c:v>4</c:v>
                </c:pt>
                <c:pt idx="1">
                  <c:v>12</c:v>
                </c:pt>
                <c:pt idx="2">
                  <c:v>11</c:v>
                </c:pt>
                <c:pt idx="3">
                  <c:v>18</c:v>
                </c:pt>
                <c:pt idx="4">
                  <c:v>24</c:v>
                </c:pt>
                <c:pt idx="5">
                  <c:v>25</c:v>
                </c:pt>
                <c:pt idx="6">
                  <c:v>31</c:v>
                </c:pt>
                <c:pt idx="7">
                  <c:v>38</c:v>
                </c:pt>
                <c:pt idx="8">
                  <c:v>38</c:v>
                </c:pt>
                <c:pt idx="9">
                  <c:v>52</c:v>
                </c:pt>
                <c:pt idx="10">
                  <c:v>52</c:v>
                </c:pt>
                <c:pt idx="11">
                  <c:v>55</c:v>
                </c:pt>
                <c:pt idx="12">
                  <c:v>57</c:v>
                </c:pt>
                <c:pt idx="13">
                  <c:v>62</c:v>
                </c:pt>
                <c:pt idx="14">
                  <c:v>63</c:v>
                </c:pt>
                <c:pt idx="15">
                  <c:v>66</c:v>
                </c:pt>
                <c:pt idx="16">
                  <c:v>68</c:v>
                </c:pt>
                <c:pt idx="17">
                  <c:v>66</c:v>
                </c:pt>
                <c:pt idx="18">
                  <c:v>78</c:v>
                </c:pt>
                <c:pt idx="19">
                  <c:v>77</c:v>
                </c:pt>
                <c:pt idx="20">
                  <c:v>83</c:v>
                </c:pt>
                <c:pt idx="21">
                  <c:v>93</c:v>
                </c:pt>
                <c:pt idx="22">
                  <c:v>99</c:v>
                </c:pt>
                <c:pt idx="23">
                  <c:v>105</c:v>
                </c:pt>
                <c:pt idx="2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4-4A51-9C47-AEEA1FFBD7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9703151"/>
        <c:axId val="1489703631"/>
      </c:lineChart>
      <c:catAx>
        <c:axId val="1489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03631"/>
        <c:crosses val="autoZero"/>
        <c:auto val="1"/>
        <c:lblAlgn val="ctr"/>
        <c:lblOffset val="100"/>
        <c:noMultiLvlLbl val="0"/>
      </c:catAx>
      <c:valAx>
        <c:axId val="1489703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97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'RandomForest (percentage split)'!$I$2:$I$26</c:f>
              <c:strCache>
                <c:ptCount val="25"/>
                <c:pt idx="0">
                  <c:v>94,92%</c:v>
                </c:pt>
                <c:pt idx="1">
                  <c:v>95,31%</c:v>
                </c:pt>
                <c:pt idx="2">
                  <c:v>95,90%</c:v>
                </c:pt>
                <c:pt idx="3">
                  <c:v>94,75%</c:v>
                </c:pt>
                <c:pt idx="4">
                  <c:v>93,95%</c:v>
                </c:pt>
                <c:pt idx="5">
                  <c:v>94,34%</c:v>
                </c:pt>
                <c:pt idx="6">
                  <c:v>93,36%</c:v>
                </c:pt>
                <c:pt idx="7">
                  <c:v>91,99%</c:v>
                </c:pt>
                <c:pt idx="8">
                  <c:v>91,99%</c:v>
                </c:pt>
                <c:pt idx="9">
                  <c:v>89,26%</c:v>
                </c:pt>
                <c:pt idx="10">
                  <c:v>89,26%</c:v>
                </c:pt>
                <c:pt idx="11">
                  <c:v>88,67%</c:v>
                </c:pt>
                <c:pt idx="12">
                  <c:v>88,28%</c:v>
                </c:pt>
                <c:pt idx="13">
                  <c:v>87,30%</c:v>
                </c:pt>
                <c:pt idx="14">
                  <c:v>87,11%</c:v>
                </c:pt>
                <c:pt idx="15">
                  <c:v>86,52%</c:v>
                </c:pt>
                <c:pt idx="16">
                  <c:v>86,13%</c:v>
                </c:pt>
                <c:pt idx="17">
                  <c:v>86,52%</c:v>
                </c:pt>
                <c:pt idx="18">
                  <c:v>84,18%</c:v>
                </c:pt>
                <c:pt idx="19">
                  <c:v>84,38%</c:v>
                </c:pt>
                <c:pt idx="20">
                  <c:v>83,40%</c:v>
                </c:pt>
                <c:pt idx="21">
                  <c:v>81,45%</c:v>
                </c:pt>
                <c:pt idx="22">
                  <c:v>80,08%</c:v>
                </c:pt>
                <c:pt idx="23">
                  <c:v>79,10%</c:v>
                </c:pt>
                <c:pt idx="24">
                  <c:v>78,13%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'RandomForest (percentage split)'!$B$2:$B$26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'RandomForest (percentage split)'!$I$2:$I$26</c:f>
              <c:numCache>
                <c:formatCode>0.00%</c:formatCode>
                <c:ptCount val="25"/>
                <c:pt idx="0">
                  <c:v>0.94921900000000003</c:v>
                </c:pt>
                <c:pt idx="1">
                  <c:v>0.953125</c:v>
                </c:pt>
                <c:pt idx="2">
                  <c:v>0.95898399999999995</c:v>
                </c:pt>
                <c:pt idx="3">
                  <c:v>0.94746600000000003</c:v>
                </c:pt>
                <c:pt idx="4">
                  <c:v>0.93945299999999998</c:v>
                </c:pt>
                <c:pt idx="5">
                  <c:v>0.94335899999999995</c:v>
                </c:pt>
                <c:pt idx="6">
                  <c:v>0.93359400000000003</c:v>
                </c:pt>
                <c:pt idx="7">
                  <c:v>0.91992200000000002</c:v>
                </c:pt>
                <c:pt idx="8">
                  <c:v>0.91992200000000002</c:v>
                </c:pt>
                <c:pt idx="9">
                  <c:v>0.89257799999999998</c:v>
                </c:pt>
                <c:pt idx="10">
                  <c:v>0.89257799999999998</c:v>
                </c:pt>
                <c:pt idx="11">
                  <c:v>0.88671900000000003</c:v>
                </c:pt>
                <c:pt idx="12">
                  <c:v>0.88281299999999996</c:v>
                </c:pt>
                <c:pt idx="13">
                  <c:v>0.87304700000000002</c:v>
                </c:pt>
                <c:pt idx="14">
                  <c:v>0.87109400000000003</c:v>
                </c:pt>
                <c:pt idx="15">
                  <c:v>0.86523399999999995</c:v>
                </c:pt>
                <c:pt idx="16">
                  <c:v>0.86132799999999998</c:v>
                </c:pt>
                <c:pt idx="17">
                  <c:v>0.86523399999999995</c:v>
                </c:pt>
                <c:pt idx="18">
                  <c:v>0.84179700000000002</c:v>
                </c:pt>
                <c:pt idx="19">
                  <c:v>0.84375</c:v>
                </c:pt>
                <c:pt idx="20">
                  <c:v>0.83398399999999995</c:v>
                </c:pt>
                <c:pt idx="21">
                  <c:v>0.81445299999999998</c:v>
                </c:pt>
                <c:pt idx="22">
                  <c:v>0.80078099999999997</c:v>
                </c:pt>
                <c:pt idx="23">
                  <c:v>0.79101600000000005</c:v>
                </c:pt>
                <c:pt idx="24">
                  <c:v>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B-4246-8873-5E850E2F26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3285439"/>
        <c:axId val="423285919"/>
      </c:lineChart>
      <c:catAx>
        <c:axId val="42328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85919"/>
        <c:crosses val="autoZero"/>
        <c:auto val="1"/>
        <c:lblAlgn val="ctr"/>
        <c:lblOffset val="100"/>
        <c:noMultiLvlLbl val="0"/>
      </c:catAx>
      <c:valAx>
        <c:axId val="423285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2328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Accuracy</c:v>
          </c:tx>
          <c:spPr>
            <a:ln w="317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637CEF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'(Marek) functions.Logistic (10-'!$I$39:$I$47</c:f>
              <c:numCache>
                <c:formatCode>0.0000%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7-4266-A9AE-1C4A7918BD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8495111"/>
        <c:axId val="1928497159"/>
      </c:lineChart>
      <c:catAx>
        <c:axId val="192849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97159"/>
        <c:crosses val="autoZero"/>
        <c:auto val="1"/>
        <c:lblAlgn val="ctr"/>
        <c:lblOffset val="100"/>
        <c:noMultiLvlLbl val="0"/>
      </c:catAx>
      <c:valAx>
        <c:axId val="1928497159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crossAx val="192849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False Negative to False Positive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False Negativ</c:v>
          </c:tx>
          <c:spPr>
            <a:ln w="317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637CEF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'(Marek) functions.Logistic (10-'!$E$39:$E$47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E-42B7-9332-F722FAB22F61}"/>
            </c:ext>
          </c:extLst>
        </c:ser>
        <c:ser>
          <c:idx val="1"/>
          <c:order val="1"/>
          <c:tx>
            <c:v>False Positiv</c:v>
          </c:tx>
          <c:spPr>
            <a:ln w="317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E3008C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'(Marek) functions.Logistic (10-'!$F$39:$F$47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E-42B7-9332-F722FAB22F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080199"/>
        <c:axId val="131082247"/>
      </c:lineChart>
      <c:catAx>
        <c:axId val="131080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2247"/>
        <c:crosses val="autoZero"/>
        <c:auto val="1"/>
        <c:lblAlgn val="ctr"/>
        <c:lblOffset val="100"/>
        <c:noMultiLvlLbl val="0"/>
      </c:catAx>
      <c:valAx>
        <c:axId val="1310822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08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Accuracy</c:v>
          </c:tx>
          <c:spPr>
            <a:ln w="317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637CEF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'functions.logistic (percentage)'!$I$27:$I$35</c:f>
              <c:numCache>
                <c:formatCode>0.00</c:formatCode>
                <c:ptCount val="9"/>
                <c:pt idx="0">
                  <c:v>92.1875</c:v>
                </c:pt>
                <c:pt idx="1">
                  <c:v>92.578100000000006</c:v>
                </c:pt>
                <c:pt idx="2">
                  <c:v>92.1875</c:v>
                </c:pt>
                <c:pt idx="3">
                  <c:v>92.578100000000006</c:v>
                </c:pt>
                <c:pt idx="4">
                  <c:v>92.382800000000003</c:v>
                </c:pt>
                <c:pt idx="5">
                  <c:v>91.601600000000005</c:v>
                </c:pt>
                <c:pt idx="6">
                  <c:v>91.406300000000002</c:v>
                </c:pt>
                <c:pt idx="7">
                  <c:v>89.648399999999995</c:v>
                </c:pt>
                <c:pt idx="8">
                  <c:v>89.648399999999995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7-4A5C-9928-14C20BDD71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8495111"/>
        <c:axId val="1928497159"/>
      </c:lineChart>
      <c:catAx>
        <c:axId val="192849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97159"/>
        <c:crosses val="autoZero"/>
        <c:auto val="1"/>
        <c:lblAlgn val="ctr"/>
        <c:lblOffset val="100"/>
        <c:noMultiLvlLbl val="0"/>
      </c:catAx>
      <c:valAx>
        <c:axId val="1928497159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92849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False Negative to False Positive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False Negativ</c:v>
          </c:tx>
          <c:spPr>
            <a:ln w="317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637CEF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'functions.logistic (percentage)'!$E$27:$E$35</c:f>
              <c:numCache>
                <c:formatCode>General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6-4C72-8712-CDF6650BC8D6}"/>
            </c:ext>
          </c:extLst>
        </c:ser>
        <c:ser>
          <c:idx val="1"/>
          <c:order val="1"/>
          <c:tx>
            <c:v>False Positiv</c:v>
          </c:tx>
          <c:spPr>
            <a:ln w="317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E3008C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'functions.logistic (percentage)'!$F$27:$F$35</c:f>
              <c:numCache>
                <c:formatCode>General</c:formatCode>
                <c:ptCount val="9"/>
                <c:pt idx="0">
                  <c:v>30</c:v>
                </c:pt>
                <c:pt idx="1">
                  <c:v>29</c:v>
                </c:pt>
                <c:pt idx="2">
                  <c:v>30</c:v>
                </c:pt>
                <c:pt idx="3">
                  <c:v>29</c:v>
                </c:pt>
                <c:pt idx="4">
                  <c:v>30</c:v>
                </c:pt>
                <c:pt idx="5">
                  <c:v>35</c:v>
                </c:pt>
                <c:pt idx="6">
                  <c:v>35</c:v>
                </c:pt>
                <c:pt idx="7">
                  <c:v>49</c:v>
                </c:pt>
                <c:pt idx="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6-4C72-8712-CDF6650BC8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080199"/>
        <c:axId val="131082247"/>
      </c:lineChart>
      <c:catAx>
        <c:axId val="131080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2247"/>
        <c:crosses val="autoZero"/>
        <c:auto val="1"/>
        <c:lblAlgn val="ctr"/>
        <c:lblOffset val="100"/>
        <c:noMultiLvlLbl val="0"/>
      </c:catAx>
      <c:valAx>
        <c:axId val="1310822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08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2</xdr:row>
      <xdr:rowOff>15240</xdr:rowOff>
    </xdr:from>
    <xdr:to>
      <xdr:col>14</xdr:col>
      <xdr:colOff>160020</xdr:colOff>
      <xdr:row>20</xdr:row>
      <xdr:rowOff>15240</xdr:rowOff>
    </xdr:to>
    <xdr:graphicFrame macro="">
      <xdr:nvGraphicFramePr>
        <xdr:cNvPr id="6" name="Diagramm 3">
          <a:extLst>
            <a:ext uri="{FF2B5EF4-FFF2-40B4-BE49-F238E27FC236}">
              <a16:creationId xmlns:a16="http://schemas.microsoft.com/office/drawing/2014/main" id="{7BF618C3-8261-4E9D-BA09-B4E0FCAEF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487680</xdr:colOff>
      <xdr:row>21</xdr:row>
      <xdr:rowOff>38100</xdr:rowOff>
    </xdr:from>
    <xdr:to>
      <xdr:col>8</xdr:col>
      <xdr:colOff>739140</xdr:colOff>
      <xdr:row>40</xdr:row>
      <xdr:rowOff>114300</xdr:rowOff>
    </xdr:to>
    <xdr:graphicFrame macro="">
      <xdr:nvGraphicFramePr>
        <xdr:cNvPr id="7" name="Diagramm 4">
          <a:extLst>
            <a:ext uri="{FF2B5EF4-FFF2-40B4-BE49-F238E27FC236}">
              <a16:creationId xmlns:a16="http://schemas.microsoft.com/office/drawing/2014/main" id="{0DFBE88F-B228-48C3-BC3D-882FBDD3353B}"/>
            </a:ext>
            <a:ext uri="{147F2762-F138-4A5C-976F-8EAC2B608ADB}">
              <a16:predDERef xmlns:a16="http://schemas.microsoft.com/office/drawing/2014/main" pred="{7BF618C3-8261-4E9D-BA09-B4E0FCAEF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662940</xdr:colOff>
      <xdr:row>24</xdr:row>
      <xdr:rowOff>121920</xdr:rowOff>
    </xdr:from>
    <xdr:to>
      <xdr:col>14</xdr:col>
      <xdr:colOff>777240</xdr:colOff>
      <xdr:row>25</xdr:row>
      <xdr:rowOff>1872615</xdr:rowOff>
    </xdr:to>
    <xdr:sp macro="" textlink="">
      <xdr:nvSpPr>
        <xdr:cNvPr id="11" name="Textfeld 3">
          <a:extLst>
            <a:ext uri="{FF2B5EF4-FFF2-40B4-BE49-F238E27FC236}">
              <a16:creationId xmlns:a16="http://schemas.microsoft.com/office/drawing/2014/main" id="{2DFB274F-57DD-2FE8-34DF-A31B8697C7F8}"/>
            </a:ext>
            <a:ext uri="{147F2762-F138-4A5C-976F-8EAC2B608ADB}">
              <a16:predDERef xmlns:a16="http://schemas.microsoft.com/office/drawing/2014/main" pred="{7F0F02DD-189B-2E03-C2F8-212661493EC6}"/>
            </a:ext>
          </a:extLst>
        </xdr:cNvPr>
        <xdr:cNvSpPr txBox="1"/>
      </xdr:nvSpPr>
      <xdr:spPr>
        <a:xfrm>
          <a:off x="8587740" y="4511040"/>
          <a:ext cx="3284220" cy="1933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Legende: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orange = RandomForest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= J48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= NaiveBayes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= BayesianNetworks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= OneR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- = functions.Logistic</a:t>
          </a:r>
        </a:p>
      </xdr:txBody>
    </xdr:sp>
    <xdr:clientData/>
  </xdr:twoCellAnchor>
  <xdr:twoCellAnchor editAs="oneCell">
    <xdr:from>
      <xdr:col>0</xdr:col>
      <xdr:colOff>609600</xdr:colOff>
      <xdr:row>2</xdr:row>
      <xdr:rowOff>15240</xdr:rowOff>
    </xdr:from>
    <xdr:to>
      <xdr:col>12</xdr:col>
      <xdr:colOff>624840</xdr:colOff>
      <xdr:row>22</xdr:row>
      <xdr:rowOff>167640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FEEDA197-429B-4CDE-D17A-4E20B6F6E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9525000" cy="381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88347</xdr:colOff>
      <xdr:row>2</xdr:row>
      <xdr:rowOff>44175</xdr:rowOff>
    </xdr:from>
    <xdr:to>
      <xdr:col>21</xdr:col>
      <xdr:colOff>384644</xdr:colOff>
      <xdr:row>23</xdr:row>
      <xdr:rowOff>68751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4CA5F89-5BFF-F588-4B05-6F0B6E8A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173" y="419653"/>
          <a:ext cx="5862210" cy="396709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25</xdr:col>
      <xdr:colOff>673768</xdr:colOff>
      <xdr:row>25</xdr:row>
      <xdr:rowOff>3815357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7B8B513A-8555-54C0-0FAE-BEAFAAD3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9789" y="4678947"/>
          <a:ext cx="7772400" cy="38153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41</xdr:row>
      <xdr:rowOff>142875</xdr:rowOff>
    </xdr:from>
    <xdr:to>
      <xdr:col>5</xdr:col>
      <xdr:colOff>714375</xdr:colOff>
      <xdr:row>63</xdr:row>
      <xdr:rowOff>38100</xdr:rowOff>
    </xdr:to>
    <xdr:graphicFrame macro="">
      <xdr:nvGraphicFramePr>
        <xdr:cNvPr id="2" name="Diagramm 3">
          <a:extLst>
            <a:ext uri="{FF2B5EF4-FFF2-40B4-BE49-F238E27FC236}">
              <a16:creationId xmlns:a16="http://schemas.microsoft.com/office/drawing/2014/main" id="{3F5A500E-AF5F-EA96-77FF-8975C275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46</xdr:row>
      <xdr:rowOff>57150</xdr:rowOff>
    </xdr:from>
    <xdr:to>
      <xdr:col>18</xdr:col>
      <xdr:colOff>480060</xdr:colOff>
      <xdr:row>64</xdr:row>
      <xdr:rowOff>114300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499D6553-66D5-2B03-C150-13CE01087FEC}"/>
            </a:ext>
            <a:ext uri="{147F2762-F138-4A5C-976F-8EAC2B608ADB}">
              <a16:predDERef xmlns:a16="http://schemas.microsoft.com/office/drawing/2014/main" pred="{3F5A500E-AF5F-EA96-77FF-8975C275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247650</xdr:colOff>
      <xdr:row>2</xdr:row>
      <xdr:rowOff>104775</xdr:rowOff>
    </xdr:from>
    <xdr:to>
      <xdr:col>18</xdr:col>
      <xdr:colOff>243840</xdr:colOff>
      <xdr:row>17</xdr:row>
      <xdr:rowOff>152400</xdr:rowOff>
    </xdr:to>
    <xdr:pic>
      <xdr:nvPicPr>
        <xdr:cNvPr id="12" name="Bild 10">
          <a:extLst>
            <a:ext uri="{FF2B5EF4-FFF2-40B4-BE49-F238E27FC236}">
              <a16:creationId xmlns:a16="http://schemas.microsoft.com/office/drawing/2014/main" id="{73D5D625-9CFE-A02D-668A-22548020A4BD}"/>
            </a:ext>
            <a:ext uri="{147F2762-F138-4A5C-976F-8EAC2B608ADB}">
              <a16:predDERef xmlns:a16="http://schemas.microsoft.com/office/drawing/2014/main" pred="{499D6553-66D5-2B03-C150-13CE01087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7375" y="485775"/>
          <a:ext cx="4572000" cy="290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31</xdr:row>
      <xdr:rowOff>142875</xdr:rowOff>
    </xdr:from>
    <xdr:to>
      <xdr:col>5</xdr:col>
      <xdr:colOff>714375</xdr:colOff>
      <xdr:row>53</xdr:row>
      <xdr:rowOff>38100</xdr:rowOff>
    </xdr:to>
    <xdr:graphicFrame macro="">
      <xdr:nvGraphicFramePr>
        <xdr:cNvPr id="2" name="Diagramm 3">
          <a:extLst>
            <a:ext uri="{FF2B5EF4-FFF2-40B4-BE49-F238E27FC236}">
              <a16:creationId xmlns:a16="http://schemas.microsoft.com/office/drawing/2014/main" id="{C5E10A1E-16F9-4E96-BFB2-ED4507259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36</xdr:row>
      <xdr:rowOff>57150</xdr:rowOff>
    </xdr:from>
    <xdr:to>
      <xdr:col>18</xdr:col>
      <xdr:colOff>480060</xdr:colOff>
      <xdr:row>54</xdr:row>
      <xdr:rowOff>114300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7B3DDABC-C6A8-40E6-AC30-78068BE6E97B}"/>
            </a:ext>
            <a:ext uri="{147F2762-F138-4A5C-976F-8EAC2B608ADB}">
              <a16:predDERef xmlns:a16="http://schemas.microsoft.com/office/drawing/2014/main" pred="{3F5A500E-AF5F-EA96-77FF-8975C2757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247650</xdr:colOff>
      <xdr:row>2</xdr:row>
      <xdr:rowOff>104775</xdr:rowOff>
    </xdr:from>
    <xdr:to>
      <xdr:col>18</xdr:col>
      <xdr:colOff>243840</xdr:colOff>
      <xdr:row>17</xdr:row>
      <xdr:rowOff>152400</xdr:rowOff>
    </xdr:to>
    <xdr:pic>
      <xdr:nvPicPr>
        <xdr:cNvPr id="4" name="Bild 10">
          <a:extLst>
            <a:ext uri="{FF2B5EF4-FFF2-40B4-BE49-F238E27FC236}">
              <a16:creationId xmlns:a16="http://schemas.microsoft.com/office/drawing/2014/main" id="{6CBA1FBC-D65D-4E29-B125-C3BE8C9999DF}"/>
            </a:ext>
            <a:ext uri="{147F2762-F138-4A5C-976F-8EAC2B608ADB}">
              <a16:predDERef xmlns:a16="http://schemas.microsoft.com/office/drawing/2014/main" pred="{499D6553-66D5-2B03-C150-13CE01087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45515" y="464820"/>
          <a:ext cx="4686300" cy="27641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668927</xdr:colOff>
      <xdr:row>3</xdr:row>
      <xdr:rowOff>157843</xdr:rowOff>
    </xdr:from>
    <xdr:to>
      <xdr:col>17</xdr:col>
      <xdr:colOff>668927</xdr:colOff>
      <xdr:row>23</xdr:row>
      <xdr:rowOff>108313</xdr:rowOff>
    </xdr:to>
    <xdr:graphicFrame macro="">
      <xdr:nvGraphicFramePr>
        <xdr:cNvPr id="7" name="Diagramm 4">
          <a:extLst>
            <a:ext uri="{FF2B5EF4-FFF2-40B4-BE49-F238E27FC236}">
              <a16:creationId xmlns:a16="http://schemas.microsoft.com/office/drawing/2014/main" id="{727C6289-0535-E66C-BFBE-22E47E7B336B}"/>
            </a:ext>
            <a:ext uri="{147F2762-F138-4A5C-976F-8EAC2B608ADB}">
              <a16:predDERef xmlns:a16="http://schemas.microsoft.com/office/drawing/2014/main" pred="{FE0F2BF7-53CD-494B-9D88-17B1A917F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1716133</xdr:colOff>
      <xdr:row>31</xdr:row>
      <xdr:rowOff>159475</xdr:rowOff>
    </xdr:from>
    <xdr:to>
      <xdr:col>6</xdr:col>
      <xdr:colOff>137705</xdr:colOff>
      <xdr:row>46</xdr:row>
      <xdr:rowOff>117566</xdr:rowOff>
    </xdr:to>
    <xdr:graphicFrame macro="">
      <xdr:nvGraphicFramePr>
        <xdr:cNvPr id="6" name="Diagramm 1">
          <a:extLst>
            <a:ext uri="{FF2B5EF4-FFF2-40B4-BE49-F238E27FC236}">
              <a16:creationId xmlns:a16="http://schemas.microsoft.com/office/drawing/2014/main" id="{CE2A839C-6D9D-AE90-EA98-F0DBDC4C0986}"/>
            </a:ext>
            <a:ext uri="{147F2762-F138-4A5C-976F-8EAC2B608ADB}">
              <a16:predDERef xmlns:a16="http://schemas.microsoft.com/office/drawing/2014/main" pred="{727C6289-0535-E66C-BFBE-22E47E7B3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9</xdr:row>
      <xdr:rowOff>76200</xdr:rowOff>
    </xdr:from>
    <xdr:to>
      <xdr:col>17</xdr:col>
      <xdr:colOff>371475</xdr:colOff>
      <xdr:row>24</xdr:row>
      <xdr:rowOff>28575</xdr:rowOff>
    </xdr:to>
    <xdr:graphicFrame macro="">
      <xdr:nvGraphicFramePr>
        <xdr:cNvPr id="2" name="Diagramm 4">
          <a:extLst>
            <a:ext uri="{FF2B5EF4-FFF2-40B4-BE49-F238E27FC236}">
              <a16:creationId xmlns:a16="http://schemas.microsoft.com/office/drawing/2014/main" id="{63B8BCF6-B359-43EF-8701-13037DF34098}"/>
            </a:ext>
            <a:ext uri="{147F2762-F138-4A5C-976F-8EAC2B608ADB}">
              <a16:predDERef xmlns:a16="http://schemas.microsoft.com/office/drawing/2014/main" pred="{FE0F2BF7-53CD-494B-9D88-17B1A917F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400050</xdr:colOff>
      <xdr:row>27</xdr:row>
      <xdr:rowOff>95250</xdr:rowOff>
    </xdr:from>
    <xdr:to>
      <xdr:col>17</xdr:col>
      <xdr:colOff>400050</xdr:colOff>
      <xdr:row>42</xdr:row>
      <xdr:rowOff>47625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0BA2A4E7-F54D-46C9-958C-562E31F30AD7}"/>
            </a:ext>
            <a:ext uri="{147F2762-F138-4A5C-976F-8EAC2B608ADB}">
              <a16:predDERef xmlns:a16="http://schemas.microsoft.com/office/drawing/2014/main" pred="{727C6289-0535-E66C-BFBE-22E47E7B3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A40B-6AE5-424F-87A8-2F5530F06185}">
  <dimension ref="A1:G13"/>
  <sheetViews>
    <sheetView workbookViewId="0">
      <pane xSplit="1" ySplit="1" topLeftCell="B2" activePane="bottomRight" state="frozen"/>
      <selection pane="bottomRight" activeCell="G2" sqref="G2"/>
      <selection pane="bottomLeft" activeCell="A2" sqref="A2"/>
      <selection pane="topRight" activeCell="B1" sqref="B1"/>
    </sheetView>
  </sheetViews>
  <sheetFormatPr defaultColWidth="11.42578125" defaultRowHeight="15"/>
  <cols>
    <col min="1" max="2" width="30.42578125" customWidth="1"/>
    <col min="3" max="4" width="9.140625" bestFit="1" customWidth="1"/>
    <col min="5" max="5" width="15.28515625" customWidth="1"/>
    <col min="6" max="6" width="14.42578125" customWidth="1"/>
    <col min="7" max="7" width="1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7</v>
      </c>
      <c r="B2">
        <v>1</v>
      </c>
      <c r="C2">
        <v>1</v>
      </c>
      <c r="E2">
        <v>15</v>
      </c>
      <c r="F2">
        <v>9</v>
      </c>
      <c r="G2" s="4">
        <v>0.95782100000000003</v>
      </c>
    </row>
    <row r="3" spans="1:7">
      <c r="A3" t="s">
        <v>8</v>
      </c>
      <c r="B3">
        <v>5</v>
      </c>
      <c r="E3">
        <v>8</v>
      </c>
      <c r="F3">
        <v>20</v>
      </c>
      <c r="G3" s="4">
        <v>0.95079100000000005</v>
      </c>
    </row>
    <row r="4" spans="1:7">
      <c r="A4" t="s">
        <v>9</v>
      </c>
      <c r="B4">
        <v>8</v>
      </c>
      <c r="E4">
        <v>6</v>
      </c>
      <c r="F4">
        <v>30</v>
      </c>
      <c r="G4" s="4">
        <v>0.93673099999999998</v>
      </c>
    </row>
    <row r="5" spans="1:7">
      <c r="A5" t="s">
        <v>10</v>
      </c>
      <c r="B5">
        <v>9</v>
      </c>
      <c r="E5">
        <v>5</v>
      </c>
      <c r="F5">
        <v>33</v>
      </c>
      <c r="G5" s="4">
        <v>0.93321600000000005</v>
      </c>
    </row>
    <row r="6" spans="1:7">
      <c r="A6" s="3" t="s">
        <v>11</v>
      </c>
      <c r="B6" s="3">
        <v>10</v>
      </c>
      <c r="C6" s="3"/>
      <c r="D6" s="3"/>
      <c r="E6" s="3">
        <v>4</v>
      </c>
      <c r="F6" s="3">
        <v>35</v>
      </c>
      <c r="G6" s="5">
        <v>0.93145900000000004</v>
      </c>
    </row>
    <row r="7" spans="1:7">
      <c r="A7" t="s">
        <v>12</v>
      </c>
      <c r="B7">
        <v>11</v>
      </c>
      <c r="E7">
        <v>4</v>
      </c>
      <c r="F7">
        <v>39</v>
      </c>
      <c r="G7" s="4">
        <v>0.92442899999999995</v>
      </c>
    </row>
    <row r="8" spans="1:7">
      <c r="A8" t="s">
        <v>13</v>
      </c>
      <c r="B8">
        <v>12</v>
      </c>
      <c r="E8">
        <v>5</v>
      </c>
      <c r="F8">
        <v>38</v>
      </c>
      <c r="G8" s="4">
        <v>0.92442899999999995</v>
      </c>
    </row>
    <row r="9" spans="1:7">
      <c r="A9" t="s">
        <v>14</v>
      </c>
      <c r="B9">
        <v>15</v>
      </c>
      <c r="E9">
        <v>5</v>
      </c>
      <c r="F9">
        <v>42</v>
      </c>
      <c r="G9" s="4">
        <v>0.91739899999999996</v>
      </c>
    </row>
    <row r="10" spans="1:7">
      <c r="A10" t="s">
        <v>15</v>
      </c>
      <c r="B10">
        <v>20</v>
      </c>
      <c r="E10">
        <v>5</v>
      </c>
      <c r="F10">
        <v>49</v>
      </c>
      <c r="G10" s="4">
        <v>0.90509700000000004</v>
      </c>
    </row>
    <row r="11" spans="1:7">
      <c r="A11" t="s">
        <v>16</v>
      </c>
      <c r="B11">
        <v>25</v>
      </c>
      <c r="E11">
        <v>4</v>
      </c>
      <c r="F11">
        <v>57</v>
      </c>
      <c r="G11" s="4">
        <v>0.89279399999999998</v>
      </c>
    </row>
    <row r="12" spans="1:7">
      <c r="A12" t="s">
        <v>17</v>
      </c>
      <c r="B12">
        <v>100</v>
      </c>
      <c r="E12">
        <v>1</v>
      </c>
      <c r="F12">
        <v>151</v>
      </c>
      <c r="G12" s="4">
        <v>0.73286499999999999</v>
      </c>
    </row>
    <row r="13" spans="1:7">
      <c r="A13" t="s">
        <v>18</v>
      </c>
      <c r="B13">
        <v>242</v>
      </c>
      <c r="E13">
        <v>0</v>
      </c>
      <c r="F13">
        <v>265</v>
      </c>
      <c r="G13" s="4">
        <v>0.53427100000000005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4E39-9F35-47F7-AF68-2999C59AA587}">
  <sheetPr>
    <tabColor theme="9" tint="0.59999389629810485"/>
  </sheetPr>
  <dimension ref="C23:W654"/>
  <sheetViews>
    <sheetView tabSelected="1" topLeftCell="C1" zoomScale="85" zoomScaleNormal="85" workbookViewId="0">
      <selection activeCell="AB12" sqref="AB12:AB16"/>
    </sheetView>
  </sheetViews>
  <sheetFormatPr defaultColWidth="11.42578125" defaultRowHeight="15"/>
  <sheetData>
    <row r="23" spans="3:23">
      <c r="W23" t="s">
        <v>19</v>
      </c>
    </row>
    <row r="25" spans="3:23">
      <c r="E25" s="19" t="s">
        <v>20</v>
      </c>
    </row>
    <row r="26" spans="3:23" ht="409.5">
      <c r="C26" s="8" t="s">
        <v>21</v>
      </c>
      <c r="E26" s="20"/>
    </row>
    <row r="27" spans="3:23">
      <c r="E27" s="21" t="s">
        <v>22</v>
      </c>
      <c r="R27" s="26" t="s">
        <v>23</v>
      </c>
    </row>
    <row r="28" spans="3:23">
      <c r="E28" s="21" t="s">
        <v>24</v>
      </c>
      <c r="R28" s="27"/>
    </row>
    <row r="29" spans="3:23">
      <c r="E29" s="21" t="s">
        <v>22</v>
      </c>
      <c r="R29" s="28" t="s">
        <v>22</v>
      </c>
    </row>
    <row r="30" spans="3:23">
      <c r="E30" s="19" t="s">
        <v>25</v>
      </c>
      <c r="R30" s="28" t="s">
        <v>24</v>
      </c>
    </row>
    <row r="31" spans="3:23">
      <c r="E31" s="22" t="s">
        <v>26</v>
      </c>
      <c r="R31" s="28" t="s">
        <v>22</v>
      </c>
    </row>
    <row r="32" spans="3:23">
      <c r="E32" s="22" t="s">
        <v>27</v>
      </c>
      <c r="R32" s="29" t="s">
        <v>28</v>
      </c>
    </row>
    <row r="33" spans="5:18">
      <c r="E33" s="22" t="s">
        <v>29</v>
      </c>
      <c r="R33" s="30" t="s">
        <v>30</v>
      </c>
    </row>
    <row r="34" spans="5:18">
      <c r="E34" s="22" t="s">
        <v>31</v>
      </c>
      <c r="R34" s="30" t="s">
        <v>32</v>
      </c>
    </row>
    <row r="35" spans="5:18">
      <c r="E35" s="22" t="s">
        <v>33</v>
      </c>
      <c r="R35" s="30" t="s">
        <v>34</v>
      </c>
    </row>
    <row r="36" spans="5:18">
      <c r="E36" s="19" t="s">
        <v>35</v>
      </c>
      <c r="R36" s="30" t="s">
        <v>36</v>
      </c>
    </row>
    <row r="37" spans="5:18">
      <c r="E37" s="22" t="s">
        <v>37</v>
      </c>
      <c r="R37" s="30" t="s">
        <v>38</v>
      </c>
    </row>
    <row r="38" spans="5:18">
      <c r="E38" s="21" t="s">
        <v>39</v>
      </c>
      <c r="R38" s="30" t="s">
        <v>40</v>
      </c>
    </row>
    <row r="39" spans="5:18">
      <c r="E39" s="22" t="s">
        <v>41</v>
      </c>
      <c r="R39" s="30" t="s">
        <v>42</v>
      </c>
    </row>
    <row r="40" spans="5:18">
      <c r="E40" s="23" t="s">
        <v>43</v>
      </c>
      <c r="R40" s="30" t="s">
        <v>44</v>
      </c>
    </row>
    <row r="41" spans="5:18">
      <c r="E41" s="22" t="s">
        <v>45</v>
      </c>
      <c r="R41" s="30" t="s">
        <v>46</v>
      </c>
    </row>
    <row r="42" spans="5:18">
      <c r="E42" s="20"/>
      <c r="R42" s="30" t="s">
        <v>47</v>
      </c>
    </row>
    <row r="43" spans="5:18">
      <c r="E43" s="20"/>
      <c r="R43" s="30" t="s">
        <v>48</v>
      </c>
    </row>
    <row r="44" spans="5:18">
      <c r="E44" s="21" t="s">
        <v>22</v>
      </c>
      <c r="R44" s="27"/>
    </row>
    <row r="45" spans="5:18">
      <c r="E45" s="21" t="s">
        <v>49</v>
      </c>
      <c r="R45" s="27"/>
    </row>
    <row r="46" spans="5:18">
      <c r="E46" s="21" t="s">
        <v>50</v>
      </c>
      <c r="R46" s="28" t="s">
        <v>22</v>
      </c>
    </row>
    <row r="47" spans="5:18">
      <c r="E47" s="21" t="s">
        <v>22</v>
      </c>
      <c r="R47" s="28" t="s">
        <v>51</v>
      </c>
    </row>
    <row r="48" spans="5:18">
      <c r="E48" s="20"/>
      <c r="R48" s="28" t="s">
        <v>22</v>
      </c>
    </row>
    <row r="49" spans="5:18">
      <c r="E49" s="21" t="s">
        <v>52</v>
      </c>
      <c r="R49" s="27"/>
    </row>
    <row r="50" spans="5:18">
      <c r="E50" s="22" t="s">
        <v>53</v>
      </c>
      <c r="R50" s="28" t="s">
        <v>52</v>
      </c>
    </row>
    <row r="51" spans="5:18">
      <c r="E51" s="24">
        <v>0.95782100000000003</v>
      </c>
      <c r="R51" s="31" t="s">
        <v>54</v>
      </c>
    </row>
    <row r="52" spans="5:18">
      <c r="E52" s="24">
        <v>96.660799999999995</v>
      </c>
      <c r="R52" s="32">
        <v>0.95782100000000003</v>
      </c>
    </row>
    <row r="53" spans="5:18">
      <c r="E53" s="24">
        <v>0.95957800000000004</v>
      </c>
      <c r="R53" s="32">
        <v>96.660799999999995</v>
      </c>
    </row>
    <row r="54" spans="5:18">
      <c r="E54" s="24">
        <v>0.95782100000000003</v>
      </c>
      <c r="R54" s="32">
        <v>0.95957800000000004</v>
      </c>
    </row>
    <row r="55" spans="5:18">
      <c r="E55" s="24">
        <v>0.95079100000000005</v>
      </c>
      <c r="R55" s="32">
        <v>0.95782100000000003</v>
      </c>
    </row>
    <row r="56" spans="5:18">
      <c r="E56" s="24">
        <v>0.94551799999999997</v>
      </c>
      <c r="R56" s="32">
        <v>0.95079100000000005</v>
      </c>
    </row>
    <row r="57" spans="5:18">
      <c r="E57" s="24">
        <v>0.93673099999999998</v>
      </c>
      <c r="R57" s="32">
        <v>0.94551799999999997</v>
      </c>
    </row>
    <row r="58" spans="5:18">
      <c r="E58" s="24">
        <v>0.93321600000000005</v>
      </c>
      <c r="R58" s="32">
        <v>0.93673099999999998</v>
      </c>
    </row>
    <row r="59" spans="5:18">
      <c r="E59" s="24">
        <v>0.93145900000000004</v>
      </c>
      <c r="R59" s="32">
        <v>0.93321600000000005</v>
      </c>
    </row>
    <row r="60" spans="5:18">
      <c r="E60" s="24">
        <v>0.92442899999999995</v>
      </c>
      <c r="R60" s="32">
        <v>0.93145900000000004</v>
      </c>
    </row>
    <row r="61" spans="5:18">
      <c r="E61" s="24">
        <v>0.92442899999999995</v>
      </c>
      <c r="R61" s="32">
        <v>0.92442899999999995</v>
      </c>
    </row>
    <row r="62" spans="5:18">
      <c r="E62" s="24">
        <v>0.91915599999999997</v>
      </c>
      <c r="R62" s="32">
        <v>0.92442899999999995</v>
      </c>
    </row>
    <row r="63" spans="5:18">
      <c r="E63" s="24">
        <v>0.91212700000000002</v>
      </c>
      <c r="R63" s="32">
        <v>0.91915599999999997</v>
      </c>
    </row>
    <row r="64" spans="5:18">
      <c r="E64" s="24">
        <v>0.91739899999999996</v>
      </c>
      <c r="R64" s="32">
        <v>0.91212700000000002</v>
      </c>
    </row>
    <row r="65" spans="5:18">
      <c r="E65" s="24">
        <v>0.91388400000000003</v>
      </c>
      <c r="R65" s="32">
        <v>0.91739899999999996</v>
      </c>
    </row>
    <row r="66" spans="5:18">
      <c r="E66" s="24">
        <v>0.91212700000000002</v>
      </c>
      <c r="R66" s="32">
        <v>0.91388400000000003</v>
      </c>
    </row>
    <row r="67" spans="5:18">
      <c r="E67" s="24">
        <v>0.90861199999999998</v>
      </c>
      <c r="R67" s="32">
        <v>0.91212700000000002</v>
      </c>
    </row>
    <row r="68" spans="5:18">
      <c r="E68" s="24">
        <v>0.91036899999999998</v>
      </c>
      <c r="R68" s="32">
        <v>0.90861199999999998</v>
      </c>
    </row>
    <row r="69" spans="5:18">
      <c r="E69" s="24">
        <v>0.91388400000000003</v>
      </c>
      <c r="R69" s="32">
        <v>0.91036899999999998</v>
      </c>
    </row>
    <row r="70" spans="5:18">
      <c r="E70" s="24">
        <v>0.90509700000000004</v>
      </c>
      <c r="R70" s="32">
        <v>0.91388400000000003</v>
      </c>
    </row>
    <row r="71" spans="5:18">
      <c r="E71" s="24">
        <v>0.89630900000000002</v>
      </c>
      <c r="R71" s="32">
        <v>0.90509700000000004</v>
      </c>
    </row>
    <row r="72" spans="5:18">
      <c r="E72" s="24">
        <v>0.89103699999999997</v>
      </c>
      <c r="R72" s="32">
        <v>0.89630900000000002</v>
      </c>
    </row>
    <row r="73" spans="5:18">
      <c r="E73" s="24">
        <v>0.89806699999999995</v>
      </c>
      <c r="R73" s="32">
        <v>0.89103699999999997</v>
      </c>
    </row>
    <row r="74" spans="5:18">
      <c r="E74" s="24">
        <v>0.89630900000000002</v>
      </c>
      <c r="R74" s="32">
        <v>0.89806699999999995</v>
      </c>
    </row>
    <row r="75" spans="5:18">
      <c r="E75" s="24">
        <v>0.89279399999999998</v>
      </c>
      <c r="R75" s="32">
        <v>0.89630900000000002</v>
      </c>
    </row>
    <row r="76" spans="5:18">
      <c r="E76" s="24">
        <v>0.89279399999999998</v>
      </c>
      <c r="R76" s="32">
        <v>0.89279399999999998</v>
      </c>
    </row>
    <row r="77" spans="5:18">
      <c r="E77" s="24">
        <v>0.88049200000000005</v>
      </c>
      <c r="R77" s="32">
        <v>0.89279399999999998</v>
      </c>
    </row>
    <row r="78" spans="5:18">
      <c r="E78" s="24">
        <v>0.88400699999999999</v>
      </c>
      <c r="R78" s="32">
        <v>0.88049200000000005</v>
      </c>
    </row>
    <row r="79" spans="5:18">
      <c r="E79" s="24">
        <v>0.885764</v>
      </c>
      <c r="R79" s="32">
        <v>0.88400699999999999</v>
      </c>
    </row>
    <row r="80" spans="5:18">
      <c r="E80" s="24">
        <v>0.87697700000000001</v>
      </c>
      <c r="R80" s="32">
        <v>0.885764</v>
      </c>
    </row>
    <row r="81" spans="5:18">
      <c r="E81" s="24">
        <v>0.88224999999999998</v>
      </c>
      <c r="R81" s="32">
        <v>0.87697700000000001</v>
      </c>
    </row>
    <row r="82" spans="5:18">
      <c r="E82" s="24">
        <v>0.87170499999999995</v>
      </c>
      <c r="R82" s="32">
        <v>0.88224999999999998</v>
      </c>
    </row>
    <row r="83" spans="5:18">
      <c r="E83" s="24">
        <v>0.87522</v>
      </c>
      <c r="R83" s="32">
        <v>0.87170499999999995</v>
      </c>
    </row>
    <row r="84" spans="5:18">
      <c r="E84" s="24">
        <v>0.86994700000000003</v>
      </c>
      <c r="R84" s="32">
        <v>0.87522</v>
      </c>
    </row>
    <row r="85" spans="5:18">
      <c r="E85" s="24">
        <v>0.86467499999999997</v>
      </c>
      <c r="R85" s="32">
        <v>0.86994700000000003</v>
      </c>
    </row>
    <row r="86" spans="5:18">
      <c r="E86" s="24">
        <v>0.75746899999999995</v>
      </c>
      <c r="R86" s="32">
        <v>0.86467499999999997</v>
      </c>
    </row>
    <row r="87" spans="5:18">
      <c r="E87" s="24">
        <v>0.53427100000000005</v>
      </c>
      <c r="R87" s="32">
        <v>0.75746899999999995</v>
      </c>
    </row>
    <row r="88" spans="5:18">
      <c r="E88" s="25" t="s">
        <v>55</v>
      </c>
      <c r="R88" s="32">
        <v>0.53427100000000005</v>
      </c>
    </row>
    <row r="89" spans="5:18">
      <c r="E89" s="20"/>
      <c r="R89" s="33" t="s">
        <v>55</v>
      </c>
    </row>
    <row r="90" spans="5:18">
      <c r="E90" s="21" t="s">
        <v>56</v>
      </c>
      <c r="R90" s="27"/>
    </row>
    <row r="91" spans="5:18">
      <c r="E91" s="22" t="s">
        <v>57</v>
      </c>
      <c r="R91" s="28" t="s">
        <v>56</v>
      </c>
    </row>
    <row r="92" spans="5:18">
      <c r="E92" s="24">
        <v>0.95630000000000004</v>
      </c>
      <c r="R92" s="31" t="s">
        <v>58</v>
      </c>
    </row>
    <row r="93" spans="5:18">
      <c r="E93" s="24">
        <v>0.95730000000000004</v>
      </c>
      <c r="R93" s="32">
        <v>0.95630000000000004</v>
      </c>
    </row>
    <row r="94" spans="5:18">
      <c r="E94" s="24">
        <v>0.93149999999999999</v>
      </c>
      <c r="R94" s="32">
        <v>0.95730000000000004</v>
      </c>
    </row>
    <row r="95" spans="5:18">
      <c r="E95" s="24">
        <v>0.96699999999999997</v>
      </c>
      <c r="R95" s="32">
        <v>0.93149999999999999</v>
      </c>
    </row>
    <row r="96" spans="5:18">
      <c r="E96" s="24">
        <v>0.91069999999999995</v>
      </c>
      <c r="R96" s="32">
        <v>0.96699999999999997</v>
      </c>
    </row>
    <row r="97" spans="5:18">
      <c r="E97" s="24">
        <v>0.89180000000000004</v>
      </c>
      <c r="R97" s="32">
        <v>0.91069999999999995</v>
      </c>
    </row>
    <row r="98" spans="5:18">
      <c r="E98" s="24">
        <v>0.87290000000000001</v>
      </c>
      <c r="R98" s="32">
        <v>0.89180000000000004</v>
      </c>
    </row>
    <row r="99" spans="5:18">
      <c r="E99" s="24">
        <v>0.86250000000000004</v>
      </c>
      <c r="R99" s="32">
        <v>0.87290000000000001</v>
      </c>
    </row>
    <row r="100" spans="5:18">
      <c r="E100" s="24">
        <v>0.85599999999999998</v>
      </c>
      <c r="R100" s="32">
        <v>0.86250000000000004</v>
      </c>
    </row>
    <row r="101" spans="5:18">
      <c r="E101" s="24">
        <v>0.84209999999999996</v>
      </c>
      <c r="R101" s="32">
        <v>0.85599999999999998</v>
      </c>
    </row>
    <row r="102" spans="5:18">
      <c r="E102" s="24">
        <v>0.84489999999999998</v>
      </c>
      <c r="R102" s="32">
        <v>0.84209999999999996</v>
      </c>
    </row>
    <row r="103" spans="5:18">
      <c r="E103" s="24">
        <v>0.8347</v>
      </c>
      <c r="R103" s="32">
        <v>0.84489999999999998</v>
      </c>
    </row>
    <row r="104" spans="5:18">
      <c r="E104" s="24">
        <v>0.82140000000000002</v>
      </c>
      <c r="R104" s="32">
        <v>0.8347</v>
      </c>
    </row>
    <row r="105" spans="5:18">
      <c r="E105" s="24">
        <v>0.83130000000000004</v>
      </c>
      <c r="R105" s="32">
        <v>0.82140000000000002</v>
      </c>
    </row>
    <row r="106" spans="5:18">
      <c r="E106" s="24">
        <v>0.82210000000000005</v>
      </c>
      <c r="R106" s="32">
        <v>0.83130000000000004</v>
      </c>
    </row>
    <row r="107" spans="5:18">
      <c r="E107" s="24">
        <v>0.81889999999999996</v>
      </c>
      <c r="R107" s="32">
        <v>0.82210000000000005</v>
      </c>
    </row>
    <row r="108" spans="5:18">
      <c r="E108" s="24">
        <v>0.8125</v>
      </c>
      <c r="R108" s="32">
        <v>0.81889999999999996</v>
      </c>
    </row>
    <row r="109" spans="5:18">
      <c r="E109" s="24">
        <v>0.81569999999999998</v>
      </c>
      <c r="R109" s="32">
        <v>0.8125</v>
      </c>
    </row>
    <row r="110" spans="5:18">
      <c r="E110" s="24">
        <v>0.8196</v>
      </c>
      <c r="R110" s="32">
        <v>0.81569999999999998</v>
      </c>
    </row>
    <row r="111" spans="5:18">
      <c r="E111" s="24">
        <v>0.80859999999999999</v>
      </c>
      <c r="R111" s="32">
        <v>0.8196</v>
      </c>
    </row>
    <row r="112" spans="5:18">
      <c r="E112" s="24">
        <v>0.79310000000000003</v>
      </c>
      <c r="R112" s="32">
        <v>0.80859999999999999</v>
      </c>
    </row>
    <row r="113" spans="5:18">
      <c r="E113" s="24">
        <v>0.78200000000000003</v>
      </c>
      <c r="R113" s="32">
        <v>0.79310000000000003</v>
      </c>
    </row>
    <row r="114" spans="5:18">
      <c r="E114" s="24">
        <v>0.79390000000000005</v>
      </c>
      <c r="R114" s="32">
        <v>0.78200000000000003</v>
      </c>
    </row>
    <row r="115" spans="5:18">
      <c r="E115" s="24">
        <v>0.78869999999999996</v>
      </c>
      <c r="R115" s="32">
        <v>0.79390000000000005</v>
      </c>
    </row>
    <row r="116" spans="5:18">
      <c r="E116" s="24">
        <v>0.78490000000000004</v>
      </c>
      <c r="R116" s="32">
        <v>0.78869999999999996</v>
      </c>
    </row>
    <row r="117" spans="5:18">
      <c r="E117" s="24">
        <v>0.78280000000000005</v>
      </c>
      <c r="R117" s="32">
        <v>0.78490000000000004</v>
      </c>
    </row>
    <row r="118" spans="5:18">
      <c r="E118" s="24">
        <v>0.76470000000000005</v>
      </c>
      <c r="R118" s="32">
        <v>0.78280000000000005</v>
      </c>
    </row>
    <row r="119" spans="5:18">
      <c r="E119" s="24">
        <v>0.77039999999999997</v>
      </c>
      <c r="R119" s="32">
        <v>0.76470000000000005</v>
      </c>
    </row>
    <row r="120" spans="5:18">
      <c r="E120" s="24">
        <v>0.7732</v>
      </c>
      <c r="R120" s="32">
        <v>0.77039999999999997</v>
      </c>
    </row>
    <row r="121" spans="5:18">
      <c r="E121" s="24">
        <v>0.7591</v>
      </c>
      <c r="R121" s="32">
        <v>0.7732</v>
      </c>
    </row>
    <row r="122" spans="5:18">
      <c r="E122" s="24">
        <v>0.76359999999999995</v>
      </c>
      <c r="R122" s="32">
        <v>0.7591</v>
      </c>
    </row>
    <row r="123" spans="5:18">
      <c r="E123" s="24">
        <v>0.74729999999999996</v>
      </c>
      <c r="R123" s="32">
        <v>0.76359999999999995</v>
      </c>
    </row>
    <row r="124" spans="5:18">
      <c r="E124" s="24">
        <v>0.75449999999999995</v>
      </c>
      <c r="R124" s="32">
        <v>0.74729999999999996</v>
      </c>
    </row>
    <row r="125" spans="5:18">
      <c r="E125" s="24">
        <v>0.74470000000000003</v>
      </c>
      <c r="R125" s="32">
        <v>0.75449999999999995</v>
      </c>
    </row>
    <row r="126" spans="5:18">
      <c r="E126" s="24">
        <v>0.73680000000000001</v>
      </c>
      <c r="R126" s="32">
        <v>0.74470000000000003</v>
      </c>
    </row>
    <row r="127" spans="5:18">
      <c r="E127" s="24">
        <v>0.60629999999999995</v>
      </c>
      <c r="R127" s="32">
        <v>0.73680000000000001</v>
      </c>
    </row>
    <row r="128" spans="5:18">
      <c r="E128" s="24">
        <v>0.44440000000000002</v>
      </c>
      <c r="R128" s="32">
        <v>0.60629999999999995</v>
      </c>
    </row>
    <row r="129" spans="5:18">
      <c r="E129" s="25" t="s">
        <v>55</v>
      </c>
      <c r="R129" s="32">
        <v>0.44440000000000002</v>
      </c>
    </row>
    <row r="130" spans="5:18">
      <c r="E130" s="20"/>
      <c r="R130" s="33" t="s">
        <v>55</v>
      </c>
    </row>
    <row r="131" spans="5:18">
      <c r="E131" s="21" t="s">
        <v>59</v>
      </c>
      <c r="R131" s="27"/>
    </row>
    <row r="132" spans="5:18">
      <c r="E132" s="22" t="s">
        <v>60</v>
      </c>
      <c r="R132" s="28" t="s">
        <v>59</v>
      </c>
    </row>
    <row r="133" spans="5:18">
      <c r="E133" s="24">
        <v>0.93321600000000005</v>
      </c>
      <c r="R133" s="31" t="s">
        <v>61</v>
      </c>
    </row>
    <row r="134" spans="5:18">
      <c r="E134" s="24">
        <v>0.94551799999999997</v>
      </c>
      <c r="R134" s="32">
        <v>0.93321600000000005</v>
      </c>
    </row>
    <row r="135" spans="5:18">
      <c r="E135" s="24">
        <v>0.93673099999999998</v>
      </c>
      <c r="R135" s="32">
        <v>0.94551799999999997</v>
      </c>
    </row>
    <row r="136" spans="5:18">
      <c r="E136" s="24">
        <v>0.93673099999999998</v>
      </c>
      <c r="R136" s="32">
        <v>0.93673099999999998</v>
      </c>
    </row>
    <row r="137" spans="5:18">
      <c r="E137" s="24">
        <v>0.94024600000000003</v>
      </c>
      <c r="R137" s="32">
        <v>0.93673099999999998</v>
      </c>
    </row>
    <row r="138" spans="5:18">
      <c r="E138" s="24">
        <v>0.94024600000000003</v>
      </c>
      <c r="R138" s="32">
        <v>0.94024600000000003</v>
      </c>
    </row>
    <row r="139" spans="5:18">
      <c r="E139" s="24">
        <v>0.92618599999999995</v>
      </c>
      <c r="R139" s="32">
        <v>0.94024600000000003</v>
      </c>
    </row>
    <row r="140" spans="5:18">
      <c r="E140" s="24">
        <v>0.92442899999999995</v>
      </c>
      <c r="R140" s="32">
        <v>0.92618599999999995</v>
      </c>
    </row>
    <row r="141" spans="5:18">
      <c r="E141" s="24">
        <v>0.92618599999999995</v>
      </c>
      <c r="R141" s="32">
        <v>0.92442899999999995</v>
      </c>
    </row>
    <row r="142" spans="5:18">
      <c r="E142" s="24">
        <v>0.92618599999999995</v>
      </c>
      <c r="R142" s="32">
        <v>0.92618599999999995</v>
      </c>
    </row>
    <row r="143" spans="5:18">
      <c r="E143" s="24">
        <v>0.91915599999999997</v>
      </c>
      <c r="R143" s="32">
        <v>0.92618599999999995</v>
      </c>
    </row>
    <row r="144" spans="5:18">
      <c r="E144" s="24">
        <v>0.91739899999999996</v>
      </c>
      <c r="R144" s="32">
        <v>0.91915599999999997</v>
      </c>
    </row>
    <row r="145" spans="5:18">
      <c r="E145" s="24">
        <v>0.91388400000000003</v>
      </c>
      <c r="R145" s="32">
        <v>0.91739899999999996</v>
      </c>
    </row>
    <row r="146" spans="5:18">
      <c r="E146" s="24">
        <v>0.91036899999999998</v>
      </c>
      <c r="R146" s="32">
        <v>0.91388400000000003</v>
      </c>
    </row>
    <row r="147" spans="5:18">
      <c r="E147" s="24">
        <v>0.91388400000000003</v>
      </c>
      <c r="R147" s="32">
        <v>0.91036899999999998</v>
      </c>
    </row>
    <row r="148" spans="5:18">
      <c r="E148" s="24">
        <v>0.91388400000000003</v>
      </c>
      <c r="R148" s="32">
        <v>0.91388400000000003</v>
      </c>
    </row>
    <row r="149" spans="5:18">
      <c r="E149" s="24">
        <v>0.90861199999999998</v>
      </c>
      <c r="R149" s="32">
        <v>0.91388400000000003</v>
      </c>
    </row>
    <row r="150" spans="5:18">
      <c r="E150" s="24">
        <v>0.89630900000000002</v>
      </c>
      <c r="R150" s="32">
        <v>0.90861199999999998</v>
      </c>
    </row>
    <row r="151" spans="5:18">
      <c r="E151" s="24">
        <v>0.88752200000000003</v>
      </c>
      <c r="R151" s="32">
        <v>0.89630900000000002</v>
      </c>
    </row>
    <row r="152" spans="5:18">
      <c r="E152" s="24">
        <v>0.88927900000000004</v>
      </c>
      <c r="R152" s="32">
        <v>0.88752200000000003</v>
      </c>
    </row>
    <row r="153" spans="5:18">
      <c r="E153" s="24">
        <v>0.87697700000000001</v>
      </c>
      <c r="R153" s="32">
        <v>0.88927900000000004</v>
      </c>
    </row>
    <row r="154" spans="5:18">
      <c r="E154" s="24">
        <v>0.82425300000000001</v>
      </c>
      <c r="R154" s="32">
        <v>0.87697700000000001</v>
      </c>
    </row>
    <row r="155" spans="5:18">
      <c r="E155" s="24">
        <v>0.83304</v>
      </c>
      <c r="R155" s="32">
        <v>0.82425300000000001</v>
      </c>
    </row>
    <row r="156" spans="5:18">
      <c r="E156" s="24">
        <v>0.80667800000000001</v>
      </c>
      <c r="R156" s="32">
        <v>0.83304</v>
      </c>
    </row>
    <row r="157" spans="5:18">
      <c r="E157" s="24">
        <v>0.79437599999999997</v>
      </c>
      <c r="R157" s="32">
        <v>0.80667800000000001</v>
      </c>
    </row>
    <row r="158" spans="5:18">
      <c r="E158" s="24">
        <v>0.80316299999999996</v>
      </c>
      <c r="R158" s="32">
        <v>0.79437599999999997</v>
      </c>
    </row>
    <row r="159" spans="5:18">
      <c r="E159" s="24">
        <v>0.71880500000000003</v>
      </c>
      <c r="R159" s="32">
        <v>0.80316299999999996</v>
      </c>
    </row>
    <row r="160" spans="5:18">
      <c r="E160" s="24">
        <v>0.45869900000000002</v>
      </c>
      <c r="R160" s="32">
        <v>0.71880500000000003</v>
      </c>
    </row>
    <row r="161" spans="5:18">
      <c r="E161" s="24">
        <v>0.4587</v>
      </c>
      <c r="R161" s="32">
        <v>0.45869900000000002</v>
      </c>
    </row>
    <row r="162" spans="5:18">
      <c r="E162" s="24">
        <v>0.41649999999999998</v>
      </c>
      <c r="R162" s="32">
        <v>0.4587</v>
      </c>
    </row>
    <row r="163" spans="5:18">
      <c r="E163" s="24">
        <v>0.37259999999999999</v>
      </c>
      <c r="R163" s="32">
        <v>0.41649999999999998</v>
      </c>
    </row>
    <row r="164" spans="5:18">
      <c r="E164" s="25" t="s">
        <v>55</v>
      </c>
      <c r="R164" s="32">
        <v>0.37259999999999999</v>
      </c>
    </row>
    <row r="165" spans="5:18">
      <c r="E165" s="20"/>
      <c r="R165" s="33" t="s">
        <v>55</v>
      </c>
    </row>
    <row r="166" spans="5:18">
      <c r="E166" s="21" t="s">
        <v>62</v>
      </c>
      <c r="R166" s="27"/>
    </row>
    <row r="167" spans="5:18">
      <c r="E167" s="22" t="s">
        <v>63</v>
      </c>
      <c r="R167" s="28" t="s">
        <v>62</v>
      </c>
    </row>
    <row r="168" spans="5:18">
      <c r="E168" s="24">
        <v>0.89549999999999996</v>
      </c>
      <c r="R168" s="31" t="s">
        <v>64</v>
      </c>
    </row>
    <row r="169" spans="5:18">
      <c r="E169" s="24">
        <v>0.91710000000000003</v>
      </c>
      <c r="R169" s="32">
        <v>0.89549999999999996</v>
      </c>
    </row>
    <row r="170" spans="5:18">
      <c r="E170" s="24">
        <v>0.90739999999999998</v>
      </c>
      <c r="R170" s="32">
        <v>0.91710000000000003</v>
      </c>
    </row>
    <row r="171" spans="5:18">
      <c r="E171" s="24">
        <v>0.93869999999999998</v>
      </c>
      <c r="R171" s="32">
        <v>0.90739999999999998</v>
      </c>
    </row>
    <row r="172" spans="5:18">
      <c r="E172" s="24">
        <v>0.89039999999999997</v>
      </c>
      <c r="R172" s="32">
        <v>0.93869999999999998</v>
      </c>
    </row>
    <row r="173" spans="5:18">
      <c r="E173" s="24">
        <v>0.89380000000000004</v>
      </c>
      <c r="R173" s="32">
        <v>0.89039999999999997</v>
      </c>
    </row>
    <row r="174" spans="5:18">
      <c r="E174" s="24">
        <v>0.86319999999999997</v>
      </c>
      <c r="R174" s="32">
        <v>0.89380000000000004</v>
      </c>
    </row>
    <row r="175" spans="5:18">
      <c r="E175" s="24">
        <v>0.86270000000000002</v>
      </c>
      <c r="R175" s="32">
        <v>0.86319999999999997</v>
      </c>
    </row>
    <row r="176" spans="5:18">
      <c r="E176" s="24">
        <v>0.85709999999999997</v>
      </c>
      <c r="R176" s="32">
        <v>0.86270000000000002</v>
      </c>
    </row>
    <row r="177" spans="5:18">
      <c r="E177" s="24">
        <v>0.85119999999999996</v>
      </c>
      <c r="R177" s="32">
        <v>0.85709999999999997</v>
      </c>
    </row>
    <row r="178" spans="5:18">
      <c r="E178" s="24">
        <v>0.83740000000000003</v>
      </c>
      <c r="R178" s="32">
        <v>0.85119999999999996</v>
      </c>
    </row>
    <row r="179" spans="5:18">
      <c r="E179" s="24">
        <v>0.83399999999999996</v>
      </c>
      <c r="R179" s="32">
        <v>0.83740000000000003</v>
      </c>
    </row>
    <row r="180" spans="5:18">
      <c r="E180" s="24">
        <v>0.82730000000000004</v>
      </c>
      <c r="R180" s="32">
        <v>0.83399999999999996</v>
      </c>
    </row>
    <row r="181" spans="5:18">
      <c r="E181" s="24">
        <v>0.82330000000000003</v>
      </c>
      <c r="R181" s="32">
        <v>0.82730000000000004</v>
      </c>
    </row>
    <row r="182" spans="5:18">
      <c r="E182" s="24">
        <v>0.83</v>
      </c>
      <c r="R182" s="32">
        <v>0.82330000000000003</v>
      </c>
    </row>
    <row r="183" spans="5:18">
      <c r="E183" s="24">
        <v>0.82730000000000004</v>
      </c>
      <c r="R183" s="32">
        <v>0.83</v>
      </c>
    </row>
    <row r="184" spans="5:18">
      <c r="E184" s="24">
        <v>0.8226</v>
      </c>
      <c r="R184" s="32">
        <v>0.82730000000000004</v>
      </c>
    </row>
    <row r="185" spans="5:18">
      <c r="E185" s="24">
        <v>0.7954</v>
      </c>
      <c r="R185" s="32">
        <v>0.8226</v>
      </c>
    </row>
    <row r="186" spans="5:18">
      <c r="E186" s="24">
        <v>0.78239999999999998</v>
      </c>
      <c r="R186" s="32">
        <v>0.7954</v>
      </c>
    </row>
    <row r="187" spans="5:18">
      <c r="E187" s="24">
        <v>0.78539999999999999</v>
      </c>
      <c r="R187" s="32">
        <v>0.78239999999999998</v>
      </c>
    </row>
    <row r="188" spans="5:18">
      <c r="E188" s="24">
        <v>0.76490000000000002</v>
      </c>
      <c r="R188" s="32">
        <v>0.78539999999999999</v>
      </c>
    </row>
    <row r="189" spans="5:18">
      <c r="E189" s="24">
        <v>0.68669999999999998</v>
      </c>
      <c r="R189" s="32">
        <v>0.76490000000000002</v>
      </c>
    </row>
    <row r="190" spans="5:18">
      <c r="E190" s="24">
        <v>0.69830000000000003</v>
      </c>
      <c r="R190" s="32">
        <v>0.68669999999999998</v>
      </c>
    </row>
    <row r="191" spans="5:18">
      <c r="E191" s="24">
        <v>0.66239999999999999</v>
      </c>
      <c r="R191" s="32">
        <v>0.69830000000000003</v>
      </c>
    </row>
    <row r="192" spans="5:18">
      <c r="E192" s="24">
        <v>0.64710000000000001</v>
      </c>
      <c r="R192" s="32">
        <v>0.66239999999999999</v>
      </c>
    </row>
    <row r="193" spans="5:18">
      <c r="E193" s="24">
        <v>0.65820000000000001</v>
      </c>
      <c r="R193" s="32">
        <v>0.64710000000000001</v>
      </c>
    </row>
    <row r="194" spans="5:18">
      <c r="E194" s="24">
        <v>0.57099999999999995</v>
      </c>
      <c r="R194" s="32">
        <v>0.65820000000000001</v>
      </c>
    </row>
    <row r="195" spans="5:18">
      <c r="E195" s="24">
        <v>0.40660000000000002</v>
      </c>
      <c r="R195" s="32">
        <v>0.57099999999999995</v>
      </c>
    </row>
    <row r="196" spans="5:18">
      <c r="E196" s="24">
        <v>0.40660000000000002</v>
      </c>
      <c r="R196" s="32">
        <v>0.40660000000000002</v>
      </c>
    </row>
    <row r="197" spans="5:18">
      <c r="E197" s="24">
        <v>0.38929999999999998</v>
      </c>
      <c r="R197" s="32">
        <v>0.40660000000000002</v>
      </c>
    </row>
    <row r="198" spans="5:18">
      <c r="E198" s="24">
        <v>0.37259999999999999</v>
      </c>
      <c r="R198" s="32">
        <v>0.38929999999999998</v>
      </c>
    </row>
    <row r="199" spans="5:18">
      <c r="E199" s="25" t="s">
        <v>55</v>
      </c>
      <c r="R199" s="32">
        <v>0.37259999999999999</v>
      </c>
    </row>
    <row r="200" spans="5:18">
      <c r="E200" s="20"/>
      <c r="R200" s="33" t="s">
        <v>55</v>
      </c>
    </row>
    <row r="201" spans="5:18">
      <c r="E201" s="22" t="s">
        <v>65</v>
      </c>
      <c r="R201" s="27"/>
    </row>
    <row r="202" spans="5:18">
      <c r="E202" s="24">
        <v>0.95079999999999998</v>
      </c>
      <c r="R202" s="28" t="s">
        <v>66</v>
      </c>
    </row>
    <row r="203" spans="5:18">
      <c r="E203" s="24">
        <v>0.94899999999999995</v>
      </c>
      <c r="R203" s="31" t="s">
        <v>67</v>
      </c>
    </row>
    <row r="204" spans="5:18">
      <c r="E204" s="24">
        <v>0.94730000000000003</v>
      </c>
      <c r="R204" s="32">
        <v>0.95079999999999998</v>
      </c>
    </row>
    <row r="205" spans="5:18">
      <c r="E205" s="24">
        <v>0.94899999999999995</v>
      </c>
      <c r="R205" s="32">
        <v>0.94899999999999995</v>
      </c>
    </row>
    <row r="206" spans="5:18">
      <c r="E206" s="24">
        <v>0.94899999999999995</v>
      </c>
      <c r="R206" s="32">
        <v>0.94730000000000003</v>
      </c>
    </row>
    <row r="207" spans="5:18">
      <c r="E207" s="24">
        <v>0.95079999999999998</v>
      </c>
      <c r="R207" s="32">
        <v>0.94899999999999995</v>
      </c>
    </row>
    <row r="208" spans="5:18">
      <c r="E208" s="24">
        <v>0.94550000000000001</v>
      </c>
      <c r="R208" s="32">
        <v>0.94899999999999995</v>
      </c>
    </row>
    <row r="209" spans="5:18">
      <c r="E209" s="24">
        <v>0.94550000000000001</v>
      </c>
      <c r="R209" s="32">
        <v>0.95079999999999998</v>
      </c>
    </row>
    <row r="210" spans="5:18">
      <c r="E210" s="24">
        <v>0.94379999999999997</v>
      </c>
      <c r="R210" s="32">
        <v>0.94550000000000001</v>
      </c>
    </row>
    <row r="211" spans="5:18">
      <c r="E211" s="24">
        <v>0.94550000000000001</v>
      </c>
      <c r="R211" s="32">
        <v>0.94550000000000001</v>
      </c>
    </row>
    <row r="212" spans="5:18">
      <c r="E212" s="24">
        <v>0.94550000000000001</v>
      </c>
      <c r="R212" s="32">
        <v>0.94379999999999997</v>
      </c>
    </row>
    <row r="213" spans="5:18">
      <c r="E213" s="24">
        <v>0.94020000000000004</v>
      </c>
      <c r="R213" s="32">
        <v>0.94550000000000001</v>
      </c>
    </row>
    <row r="214" spans="5:18">
      <c r="E214" s="24">
        <v>0.94020000000000004</v>
      </c>
      <c r="R214" s="32">
        <v>0.94550000000000001</v>
      </c>
    </row>
    <row r="215" spans="5:18">
      <c r="E215" s="24">
        <v>0.93149999999999999</v>
      </c>
      <c r="R215" s="32">
        <v>0.94020000000000004</v>
      </c>
    </row>
    <row r="216" spans="5:18">
      <c r="E216" s="24">
        <v>0.93149999999999999</v>
      </c>
      <c r="R216" s="32">
        <v>0.94020000000000004</v>
      </c>
    </row>
    <row r="217" spans="5:18">
      <c r="E217" s="24">
        <v>0.4148</v>
      </c>
      <c r="R217" s="32">
        <v>0.93149999999999999</v>
      </c>
    </row>
    <row r="218" spans="5:18">
      <c r="E218" s="24">
        <v>0.4148</v>
      </c>
      <c r="R218" s="32">
        <v>0.93149999999999999</v>
      </c>
    </row>
    <row r="219" spans="5:18">
      <c r="E219" s="24">
        <v>0.4148</v>
      </c>
      <c r="R219" s="32">
        <v>0.4148</v>
      </c>
    </row>
    <row r="220" spans="5:18">
      <c r="E220" s="24">
        <v>0.37259999999999999</v>
      </c>
      <c r="R220" s="32">
        <v>0.4148</v>
      </c>
    </row>
    <row r="221" spans="5:18">
      <c r="E221" s="24">
        <v>0.37259999999999999</v>
      </c>
      <c r="R221" s="32">
        <v>0.4148</v>
      </c>
    </row>
    <row r="222" spans="5:18">
      <c r="E222" s="24">
        <v>0.37259999999999999</v>
      </c>
      <c r="R222" s="32">
        <v>0.37259999999999999</v>
      </c>
    </row>
    <row r="223" spans="5:18">
      <c r="E223" s="25" t="s">
        <v>55</v>
      </c>
      <c r="R223" s="32">
        <v>0.37259999999999999</v>
      </c>
    </row>
    <row r="224" spans="5:18">
      <c r="E224" s="22" t="s">
        <v>68</v>
      </c>
      <c r="R224" s="32">
        <v>0.37259999999999999</v>
      </c>
    </row>
    <row r="225" spans="5:18">
      <c r="E225" s="24">
        <v>0.93400000000000005</v>
      </c>
      <c r="R225" s="33" t="s">
        <v>55</v>
      </c>
    </row>
    <row r="226" spans="5:18">
      <c r="E226" s="24">
        <v>0.92169999999999996</v>
      </c>
      <c r="R226" s="27"/>
    </row>
    <row r="227" spans="5:18">
      <c r="E227" s="24">
        <v>0.92130000000000001</v>
      </c>
      <c r="R227" s="28" t="s">
        <v>69</v>
      </c>
    </row>
    <row r="228" spans="5:18">
      <c r="E228" s="24">
        <v>0.92559999999999998</v>
      </c>
      <c r="R228" s="31" t="s">
        <v>70</v>
      </c>
    </row>
    <row r="229" spans="5:18">
      <c r="E229" s="24">
        <v>0.91779999999999995</v>
      </c>
      <c r="R229" s="32">
        <v>0.93400000000000005</v>
      </c>
    </row>
    <row r="230" spans="5:18">
      <c r="E230" s="24">
        <v>0.92200000000000004</v>
      </c>
      <c r="R230" s="32">
        <v>0.92169999999999996</v>
      </c>
    </row>
    <row r="231" spans="5:18">
      <c r="E231" s="24">
        <v>0.91320000000000001</v>
      </c>
      <c r="R231" s="32">
        <v>0.92130000000000001</v>
      </c>
    </row>
    <row r="232" spans="5:18">
      <c r="E232" s="24">
        <v>0.90949999999999998</v>
      </c>
      <c r="R232" s="32">
        <v>0.92559999999999998</v>
      </c>
    </row>
    <row r="233" spans="5:18">
      <c r="E233" s="24">
        <v>0.91279999999999994</v>
      </c>
      <c r="R233" s="32">
        <v>0.91779999999999995</v>
      </c>
    </row>
    <row r="234" spans="5:18">
      <c r="E234" s="24">
        <v>0.91320000000000001</v>
      </c>
      <c r="R234" s="32">
        <v>0.92200000000000004</v>
      </c>
    </row>
    <row r="235" spans="5:18">
      <c r="E235" s="24">
        <v>0.91320000000000001</v>
      </c>
      <c r="R235" s="32">
        <v>0.91320000000000001</v>
      </c>
    </row>
    <row r="236" spans="5:18">
      <c r="E236" s="24">
        <v>0.90090000000000003</v>
      </c>
      <c r="R236" s="32">
        <v>0.90949999999999998</v>
      </c>
    </row>
    <row r="237" spans="5:18">
      <c r="E237" s="24">
        <v>0.90090000000000003</v>
      </c>
      <c r="R237" s="32">
        <v>0.91279999999999994</v>
      </c>
    </row>
    <row r="238" spans="5:18">
      <c r="E238" s="24">
        <v>0.88439999999999996</v>
      </c>
      <c r="R238" s="32">
        <v>0.91320000000000001</v>
      </c>
    </row>
    <row r="239" spans="5:18">
      <c r="E239" s="24">
        <v>0.88109999999999999</v>
      </c>
      <c r="R239" s="32">
        <v>0.91320000000000001</v>
      </c>
    </row>
    <row r="240" spans="5:18">
      <c r="E240" s="24">
        <v>0.38819999999999999</v>
      </c>
      <c r="R240" s="32">
        <v>0.90090000000000003</v>
      </c>
    </row>
    <row r="241" spans="5:18">
      <c r="E241" s="24">
        <v>0.38819999999999999</v>
      </c>
      <c r="R241" s="32">
        <v>0.90090000000000003</v>
      </c>
    </row>
    <row r="242" spans="5:18">
      <c r="E242" s="24">
        <v>0.38819999999999999</v>
      </c>
      <c r="R242" s="32">
        <v>0.88439999999999996</v>
      </c>
    </row>
    <row r="243" spans="5:18">
      <c r="E243" s="24">
        <v>0.37259999999999999</v>
      </c>
      <c r="R243" s="32">
        <v>0.88109999999999999</v>
      </c>
    </row>
    <row r="244" spans="5:18">
      <c r="E244" s="24">
        <v>0.37259999999999999</v>
      </c>
      <c r="R244" s="32">
        <v>0.38819999999999999</v>
      </c>
    </row>
    <row r="245" spans="5:18">
      <c r="E245" s="24">
        <v>0.37259999999999999</v>
      </c>
      <c r="R245" s="32">
        <v>0.38819999999999999</v>
      </c>
    </row>
    <row r="246" spans="5:18">
      <c r="E246" s="25" t="s">
        <v>55</v>
      </c>
      <c r="R246" s="32">
        <v>0.38819999999999999</v>
      </c>
    </row>
    <row r="247" spans="5:18">
      <c r="E247" s="22" t="s">
        <v>71</v>
      </c>
      <c r="R247" s="32">
        <v>0.37259999999999999</v>
      </c>
    </row>
    <row r="248" spans="5:18">
      <c r="E248" s="24">
        <v>0.90159999999999996</v>
      </c>
      <c r="R248" s="32">
        <v>0.37259999999999999</v>
      </c>
    </row>
    <row r="249" spans="5:18">
      <c r="E249" s="24">
        <v>0.88580000000000003</v>
      </c>
      <c r="R249" s="32">
        <v>0.37259999999999999</v>
      </c>
    </row>
    <row r="250" spans="5:18">
      <c r="E250" s="24">
        <v>0.89100000000000001</v>
      </c>
      <c r="R250" s="33" t="s">
        <v>55</v>
      </c>
    </row>
    <row r="251" spans="5:18">
      <c r="E251" s="24">
        <v>0.86819999999999997</v>
      </c>
      <c r="R251" s="27"/>
    </row>
    <row r="252" spans="5:18">
      <c r="E252" s="24">
        <v>0.85760000000000003</v>
      </c>
      <c r="R252" s="28" t="s">
        <v>72</v>
      </c>
    </row>
    <row r="253" spans="5:18">
      <c r="E253" s="24">
        <v>0.86119999999999997</v>
      </c>
      <c r="R253" s="31" t="s">
        <v>73</v>
      </c>
    </row>
    <row r="254" spans="5:18">
      <c r="E254" s="24">
        <v>0.83660000000000001</v>
      </c>
      <c r="R254" s="32">
        <v>0.90159999999999996</v>
      </c>
    </row>
    <row r="255" spans="5:18">
      <c r="E255" s="24">
        <v>0.82950000000000002</v>
      </c>
      <c r="R255" s="32">
        <v>0.88580000000000003</v>
      </c>
    </row>
    <row r="256" spans="5:18">
      <c r="E256" s="24">
        <v>0.82430000000000003</v>
      </c>
      <c r="R256" s="32">
        <v>0.89100000000000001</v>
      </c>
    </row>
    <row r="257" spans="5:18">
      <c r="E257" s="24">
        <v>0.82430000000000003</v>
      </c>
      <c r="R257" s="32">
        <v>0.86819999999999997</v>
      </c>
    </row>
    <row r="258" spans="5:18">
      <c r="E258" s="24">
        <v>0.77680000000000005</v>
      </c>
      <c r="R258" s="32">
        <v>0.85760000000000003</v>
      </c>
    </row>
    <row r="259" spans="5:18">
      <c r="E259" s="24">
        <v>0.74339999999999995</v>
      </c>
      <c r="R259" s="32">
        <v>0.86119999999999997</v>
      </c>
    </row>
    <row r="260" spans="5:18">
      <c r="E260" s="24">
        <v>0.70469999999999999</v>
      </c>
      <c r="R260" s="32">
        <v>0.83660000000000001</v>
      </c>
    </row>
    <row r="261" spans="5:18">
      <c r="E261" s="24">
        <v>0.68889999999999996</v>
      </c>
      <c r="R261" s="32">
        <v>0.82950000000000002</v>
      </c>
    </row>
    <row r="262" spans="5:18">
      <c r="E262" s="24">
        <v>0.62209999999999999</v>
      </c>
      <c r="R262" s="32">
        <v>0.82430000000000003</v>
      </c>
    </row>
    <row r="263" spans="5:18">
      <c r="E263" s="24">
        <v>0.63800000000000001</v>
      </c>
      <c r="R263" s="32">
        <v>0.82430000000000003</v>
      </c>
    </row>
    <row r="264" spans="5:18">
      <c r="E264" s="24">
        <v>0.58520000000000005</v>
      </c>
      <c r="R264" s="32">
        <v>0.77680000000000005</v>
      </c>
    </row>
    <row r="265" spans="5:18">
      <c r="E265" s="24">
        <v>0.49909999999999999</v>
      </c>
      <c r="R265" s="32">
        <v>0.74339999999999995</v>
      </c>
    </row>
    <row r="266" spans="5:18">
      <c r="E266" s="24">
        <v>0.49909999999999999</v>
      </c>
      <c r="R266" s="32">
        <v>0.70469999999999999</v>
      </c>
    </row>
    <row r="267" spans="5:18">
      <c r="E267" s="24">
        <v>0.49909999999999999</v>
      </c>
      <c r="R267" s="32">
        <v>0.68889999999999996</v>
      </c>
    </row>
    <row r="268" spans="5:18">
      <c r="E268" s="24">
        <v>0.49909999999999999</v>
      </c>
      <c r="R268" s="32">
        <v>0.62209999999999999</v>
      </c>
    </row>
    <row r="269" spans="5:18">
      <c r="E269" s="24">
        <v>0.46050000000000002</v>
      </c>
      <c r="R269" s="32">
        <v>0.63800000000000001</v>
      </c>
    </row>
    <row r="270" spans="5:18">
      <c r="E270" s="24">
        <v>0.46050000000000002</v>
      </c>
      <c r="R270" s="32">
        <v>0.58520000000000005</v>
      </c>
    </row>
    <row r="271" spans="5:18">
      <c r="E271" s="25" t="s">
        <v>55</v>
      </c>
      <c r="R271" s="32">
        <v>0.49909999999999999</v>
      </c>
    </row>
    <row r="272" spans="5:18">
      <c r="E272" s="22" t="s">
        <v>74</v>
      </c>
      <c r="R272" s="32">
        <v>0.49909999999999999</v>
      </c>
    </row>
    <row r="273" spans="5:18">
      <c r="E273" s="24">
        <v>0.8679</v>
      </c>
      <c r="R273" s="32">
        <v>0.49909999999999999</v>
      </c>
    </row>
    <row r="274" spans="5:18">
      <c r="E274" s="24">
        <v>0.82669999999999999</v>
      </c>
      <c r="R274" s="32">
        <v>0.49909999999999999</v>
      </c>
    </row>
    <row r="275" spans="5:18">
      <c r="E275" s="24">
        <v>0.82330000000000003</v>
      </c>
      <c r="R275" s="32">
        <v>0.46050000000000002</v>
      </c>
    </row>
    <row r="276" spans="5:18">
      <c r="E276" s="24">
        <v>0.76649999999999996</v>
      </c>
      <c r="R276" s="32">
        <v>0.46050000000000002</v>
      </c>
    </row>
    <row r="277" spans="5:18">
      <c r="E277" s="24">
        <v>0.74719999999999998</v>
      </c>
      <c r="R277" s="33" t="s">
        <v>55</v>
      </c>
    </row>
    <row r="278" spans="5:18">
      <c r="E278" s="24">
        <v>0.74719999999999998</v>
      </c>
      <c r="R278" s="27"/>
    </row>
    <row r="279" spans="5:18">
      <c r="E279" s="24">
        <v>0.70730000000000004</v>
      </c>
      <c r="R279" s="28" t="s">
        <v>75</v>
      </c>
    </row>
    <row r="280" spans="5:18">
      <c r="E280" s="24">
        <v>0.69620000000000004</v>
      </c>
      <c r="R280" s="31" t="s">
        <v>76</v>
      </c>
    </row>
    <row r="281" spans="5:18">
      <c r="E281" s="24">
        <v>0.69310000000000005</v>
      </c>
      <c r="R281" s="32">
        <v>0.8679</v>
      </c>
    </row>
    <row r="282" spans="5:18">
      <c r="E282" s="24">
        <v>0.69310000000000005</v>
      </c>
      <c r="R282" s="32">
        <v>0.82669999999999999</v>
      </c>
    </row>
    <row r="283" spans="5:18">
      <c r="E283" s="24">
        <v>0.63239999999999996</v>
      </c>
      <c r="R283" s="32">
        <v>0.82330000000000003</v>
      </c>
    </row>
    <row r="284" spans="5:18">
      <c r="E284" s="24">
        <v>0.59589999999999999</v>
      </c>
      <c r="R284" s="32">
        <v>0.76649999999999996</v>
      </c>
    </row>
    <row r="285" spans="5:18">
      <c r="E285" s="24">
        <v>0.55979999999999996</v>
      </c>
      <c r="R285" s="32">
        <v>0.74719999999999998</v>
      </c>
    </row>
    <row r="286" spans="5:18">
      <c r="E286" s="24">
        <v>0.54669999999999996</v>
      </c>
      <c r="R286" s="32">
        <v>0.74719999999999998</v>
      </c>
    </row>
    <row r="287" spans="5:18">
      <c r="E287" s="24">
        <v>0.54669999999999996</v>
      </c>
      <c r="R287" s="32">
        <v>0.70730000000000004</v>
      </c>
    </row>
    <row r="288" spans="5:18">
      <c r="E288" s="24">
        <v>0.50739999999999996</v>
      </c>
      <c r="R288" s="32">
        <v>0.69620000000000004</v>
      </c>
    </row>
    <row r="289" spans="5:18">
      <c r="E289" s="24">
        <v>0.47270000000000001</v>
      </c>
      <c r="R289" s="32">
        <v>0.69310000000000005</v>
      </c>
    </row>
    <row r="290" spans="5:18">
      <c r="E290" s="24">
        <v>0.42630000000000001</v>
      </c>
      <c r="R290" s="32">
        <v>0.69310000000000005</v>
      </c>
    </row>
    <row r="291" spans="5:18">
      <c r="E291" s="24">
        <v>0.42630000000000001</v>
      </c>
      <c r="R291" s="32">
        <v>0.63239999999999996</v>
      </c>
    </row>
    <row r="292" spans="5:18">
      <c r="E292" s="24">
        <v>0.42630000000000001</v>
      </c>
      <c r="R292" s="32">
        <v>0.59589999999999999</v>
      </c>
    </row>
    <row r="293" spans="5:18">
      <c r="E293" s="24">
        <v>0.42630000000000001</v>
      </c>
      <c r="R293" s="32">
        <v>0.55979999999999996</v>
      </c>
    </row>
    <row r="294" spans="5:18">
      <c r="E294" s="24">
        <v>0.40849999999999997</v>
      </c>
      <c r="R294" s="32">
        <v>0.54669999999999996</v>
      </c>
    </row>
    <row r="295" spans="5:18">
      <c r="E295" s="24">
        <v>0.40849999999999997</v>
      </c>
      <c r="R295" s="32">
        <v>0.54669999999999996</v>
      </c>
    </row>
    <row r="296" spans="5:18">
      <c r="E296" s="25" t="s">
        <v>55</v>
      </c>
      <c r="R296" s="32">
        <v>0.50739999999999996</v>
      </c>
    </row>
    <row r="297" spans="5:18">
      <c r="E297" s="20"/>
      <c r="R297" s="32">
        <v>0.47270000000000001</v>
      </c>
    </row>
    <row r="298" spans="5:18">
      <c r="E298" s="22" t="s">
        <v>77</v>
      </c>
      <c r="R298" s="32">
        <v>0.42630000000000001</v>
      </c>
    </row>
    <row r="299" spans="5:18">
      <c r="E299" s="24">
        <v>0.97187999999999997</v>
      </c>
      <c r="R299" s="32">
        <v>0.42630000000000001</v>
      </c>
    </row>
    <row r="300" spans="5:18">
      <c r="E300" s="24">
        <v>0.97187999999999997</v>
      </c>
      <c r="R300" s="32">
        <v>0.42630000000000001</v>
      </c>
    </row>
    <row r="301" spans="5:18">
      <c r="E301" s="24">
        <v>0.96309299999999998</v>
      </c>
      <c r="R301" s="32">
        <v>0.42630000000000001</v>
      </c>
    </row>
    <row r="302" spans="5:18">
      <c r="E302" s="24">
        <v>0.95430599999999999</v>
      </c>
      <c r="R302" s="32">
        <v>0.40849999999999997</v>
      </c>
    </row>
    <row r="303" spans="5:18">
      <c r="E303" s="24">
        <v>0.94551799999999997</v>
      </c>
      <c r="R303" s="32">
        <v>0.40849999999999997</v>
      </c>
    </row>
    <row r="304" spans="5:18">
      <c r="E304" s="24">
        <v>0.93848900000000002</v>
      </c>
      <c r="R304" s="33" t="s">
        <v>55</v>
      </c>
    </row>
    <row r="305" spans="5:18">
      <c r="E305" s="24">
        <v>0.93321600000000005</v>
      </c>
      <c r="R305" s="27"/>
    </row>
    <row r="306" spans="5:18">
      <c r="E306" s="24">
        <v>0.93848900000000002</v>
      </c>
      <c r="R306" s="28" t="s">
        <v>78</v>
      </c>
    </row>
    <row r="307" spans="5:18">
      <c r="E307" s="24">
        <v>0.94200399999999995</v>
      </c>
      <c r="R307" s="31" t="s">
        <v>79</v>
      </c>
    </row>
    <row r="308" spans="5:18">
      <c r="E308" s="24">
        <v>0.93321600000000005</v>
      </c>
      <c r="R308" s="32">
        <v>0.97187999999999997</v>
      </c>
    </row>
    <row r="309" spans="5:18">
      <c r="E309" s="24">
        <v>0.929701</v>
      </c>
      <c r="R309" s="32">
        <v>0.97187999999999997</v>
      </c>
    </row>
    <row r="310" spans="5:18">
      <c r="E310" s="24">
        <v>0.92267100000000002</v>
      </c>
      <c r="R310" s="32">
        <v>0.96309299999999998</v>
      </c>
    </row>
    <row r="311" spans="5:18">
      <c r="E311" s="24">
        <v>0.92442899999999995</v>
      </c>
      <c r="R311" s="32">
        <v>0.95430599999999999</v>
      </c>
    </row>
    <row r="312" spans="5:18">
      <c r="E312" s="24">
        <v>0.91739899999999996</v>
      </c>
      <c r="R312" s="32">
        <v>0.94551799999999997</v>
      </c>
    </row>
    <row r="313" spans="5:18">
      <c r="E313" s="24">
        <v>0.90685400000000005</v>
      </c>
      <c r="R313" s="32">
        <v>0.93848900000000002</v>
      </c>
    </row>
    <row r="314" spans="5:18">
      <c r="E314" s="24">
        <v>0.90509700000000004</v>
      </c>
      <c r="R314" s="32">
        <v>0.93321600000000005</v>
      </c>
    </row>
    <row r="315" spans="5:18">
      <c r="E315" s="24">
        <v>0.70298799999999995</v>
      </c>
      <c r="R315" s="32">
        <v>0.93848900000000002</v>
      </c>
    </row>
    <row r="316" spans="5:18">
      <c r="E316" s="24">
        <v>0.70474499999999995</v>
      </c>
      <c r="R316" s="32">
        <v>0.94200399999999995</v>
      </c>
    </row>
    <row r="317" spans="5:18">
      <c r="E317" s="24">
        <v>0.67662599999999995</v>
      </c>
      <c r="R317" s="32">
        <v>0.93321600000000005</v>
      </c>
    </row>
    <row r="318" spans="5:18">
      <c r="E318" s="24">
        <v>0.69947300000000001</v>
      </c>
      <c r="R318" s="32">
        <v>0.929701</v>
      </c>
    </row>
    <row r="319" spans="5:18">
      <c r="E319" s="24">
        <v>0.69947300000000001</v>
      </c>
      <c r="R319" s="32">
        <v>0.92267100000000002</v>
      </c>
    </row>
    <row r="320" spans="5:18">
      <c r="E320" s="24">
        <v>0.69595799999999997</v>
      </c>
      <c r="R320" s="32">
        <v>0.92442899999999995</v>
      </c>
    </row>
    <row r="321" spans="5:18">
      <c r="E321" s="24">
        <v>0.664323</v>
      </c>
      <c r="R321" s="32">
        <v>0.91739899999999996</v>
      </c>
    </row>
    <row r="322" spans="5:18">
      <c r="E322" s="24">
        <v>0.664323</v>
      </c>
      <c r="R322" s="32">
        <v>0.90685400000000005</v>
      </c>
    </row>
    <row r="323" spans="5:18">
      <c r="E323" s="24">
        <v>0.66080799999999995</v>
      </c>
      <c r="R323" s="32">
        <v>0.90509700000000004</v>
      </c>
    </row>
    <row r="324" spans="5:18">
      <c r="E324" s="24">
        <v>0.65905100000000005</v>
      </c>
      <c r="R324" s="32">
        <v>0.70298799999999995</v>
      </c>
    </row>
    <row r="325" spans="5:18">
      <c r="E325" s="24">
        <v>0.65729300000000002</v>
      </c>
      <c r="R325" s="32">
        <v>0.70474499999999995</v>
      </c>
    </row>
    <row r="326" spans="5:18">
      <c r="E326" s="25" t="s">
        <v>55</v>
      </c>
      <c r="R326" s="32">
        <v>0.67662599999999995</v>
      </c>
    </row>
    <row r="327" spans="5:18">
      <c r="E327" s="20"/>
      <c r="R327" s="32">
        <v>0.69947300000000001</v>
      </c>
    </row>
    <row r="328" spans="5:18">
      <c r="E328" s="22" t="s">
        <v>80</v>
      </c>
      <c r="R328" s="32">
        <v>0.69947300000000001</v>
      </c>
    </row>
    <row r="329" spans="5:18">
      <c r="E329" s="24">
        <v>0.97570000000000001</v>
      </c>
      <c r="R329" s="32">
        <v>0.69595799999999997</v>
      </c>
    </row>
    <row r="330" spans="5:18">
      <c r="E330" s="24">
        <v>0.95369999999999999</v>
      </c>
      <c r="R330" s="32">
        <v>0.664323</v>
      </c>
    </row>
    <row r="331" spans="5:18">
      <c r="E331" s="24">
        <v>0.93210000000000004</v>
      </c>
      <c r="R331" s="32">
        <v>0.664323</v>
      </c>
    </row>
    <row r="332" spans="5:18">
      <c r="E332" s="24">
        <v>0.90790000000000004</v>
      </c>
      <c r="R332" s="32">
        <v>0.66080799999999995</v>
      </c>
    </row>
    <row r="333" spans="5:18">
      <c r="E333" s="24">
        <v>0.89180000000000004</v>
      </c>
      <c r="R333" s="32">
        <v>0.65905100000000005</v>
      </c>
    </row>
    <row r="334" spans="5:18">
      <c r="E334" s="24">
        <v>0.87660000000000005</v>
      </c>
      <c r="R334" s="32">
        <v>0.65729300000000002</v>
      </c>
    </row>
    <row r="335" spans="5:18">
      <c r="E335" s="24">
        <v>0.86250000000000004</v>
      </c>
      <c r="R335" s="33" t="s">
        <v>55</v>
      </c>
    </row>
    <row r="336" spans="5:18">
      <c r="E336" s="24">
        <v>0.87660000000000005</v>
      </c>
      <c r="R336" s="27"/>
    </row>
    <row r="337" spans="5:18">
      <c r="E337" s="24">
        <v>0.87760000000000005</v>
      </c>
      <c r="R337" s="28" t="s">
        <v>81</v>
      </c>
    </row>
    <row r="338" spans="5:18">
      <c r="E338" s="24">
        <v>0.85950000000000004</v>
      </c>
      <c r="R338" s="31" t="s">
        <v>82</v>
      </c>
    </row>
    <row r="339" spans="5:18">
      <c r="E339" s="24">
        <v>0.85250000000000004</v>
      </c>
      <c r="R339" s="32">
        <v>0.97570000000000001</v>
      </c>
    </row>
    <row r="340" spans="5:18">
      <c r="E340" s="24">
        <v>0.83599999999999997</v>
      </c>
      <c r="R340" s="32">
        <v>0.95369999999999999</v>
      </c>
    </row>
    <row r="341" spans="5:18">
      <c r="E341" s="24">
        <v>0.8367</v>
      </c>
      <c r="R341" s="32">
        <v>0.93210000000000004</v>
      </c>
    </row>
    <row r="342" spans="5:18">
      <c r="E342" s="24">
        <v>0.82099999999999995</v>
      </c>
      <c r="R342" s="32">
        <v>0.90790000000000004</v>
      </c>
    </row>
    <row r="343" spans="5:18">
      <c r="E343" s="24">
        <v>0.80230000000000001</v>
      </c>
      <c r="R343" s="32">
        <v>0.89180000000000004</v>
      </c>
    </row>
    <row r="344" spans="5:18">
      <c r="E344" s="24">
        <v>0.80379999999999996</v>
      </c>
      <c r="R344" s="32">
        <v>0.87660000000000005</v>
      </c>
    </row>
    <row r="345" spans="5:18">
      <c r="E345" s="20"/>
      <c r="R345" s="32">
        <v>0.86250000000000004</v>
      </c>
    </row>
    <row r="346" spans="5:18">
      <c r="E346" s="24">
        <v>0.55669999999999997</v>
      </c>
      <c r="R346" s="32">
        <v>0.87660000000000005</v>
      </c>
    </row>
    <row r="347" spans="5:18">
      <c r="E347" s="24">
        <v>0.55820000000000003</v>
      </c>
      <c r="R347" s="32">
        <v>0.87760000000000005</v>
      </c>
    </row>
    <row r="348" spans="5:18">
      <c r="E348" s="24">
        <v>0.53549999999999998</v>
      </c>
      <c r="R348" s="32">
        <v>0.85950000000000004</v>
      </c>
    </row>
    <row r="349" spans="5:18">
      <c r="E349" s="24">
        <v>0.55379999999999996</v>
      </c>
      <c r="R349" s="32">
        <v>0.85250000000000004</v>
      </c>
    </row>
    <row r="350" spans="5:18">
      <c r="E350" s="24">
        <v>0.55379999999999996</v>
      </c>
      <c r="R350" s="32">
        <v>0.83599999999999997</v>
      </c>
    </row>
    <row r="351" spans="5:18">
      <c r="E351" s="24">
        <v>0.55089999999999995</v>
      </c>
      <c r="R351" s="32">
        <v>0.8367</v>
      </c>
    </row>
    <row r="352" spans="5:18">
      <c r="E352" s="24">
        <v>0.52610000000000001</v>
      </c>
      <c r="R352" s="32">
        <v>0.82099999999999995</v>
      </c>
    </row>
    <row r="353" spans="5:18">
      <c r="E353" s="24">
        <v>0.52610000000000001</v>
      </c>
      <c r="R353" s="32">
        <v>0.80230000000000001</v>
      </c>
    </row>
    <row r="354" spans="5:18">
      <c r="E354" s="24">
        <v>0.52349999999999997</v>
      </c>
      <c r="R354" s="32">
        <v>0.80379999999999996</v>
      </c>
    </row>
    <row r="355" spans="5:18">
      <c r="E355" s="24">
        <v>0.5222</v>
      </c>
      <c r="R355" s="27"/>
    </row>
    <row r="356" spans="5:18">
      <c r="E356" s="24">
        <v>0.52090000000000003</v>
      </c>
      <c r="R356" s="32">
        <v>0.55669999999999997</v>
      </c>
    </row>
    <row r="357" spans="5:18">
      <c r="E357" s="25" t="s">
        <v>55</v>
      </c>
      <c r="R357" s="32">
        <v>0.55820000000000003</v>
      </c>
    </row>
    <row r="358" spans="5:18">
      <c r="E358" s="22" t="s">
        <v>83</v>
      </c>
      <c r="R358" s="32">
        <v>0.53549999999999998</v>
      </c>
    </row>
    <row r="359" spans="5:18">
      <c r="E359" s="24">
        <v>0.92969999999999997</v>
      </c>
      <c r="R359" s="32">
        <v>0.55379999999999996</v>
      </c>
    </row>
    <row r="360" spans="5:18">
      <c r="E360" s="24">
        <v>0.92969999999999997</v>
      </c>
      <c r="R360" s="32">
        <v>0.55379999999999996</v>
      </c>
    </row>
    <row r="361" spans="5:18">
      <c r="E361" s="24">
        <v>0.92969999999999997</v>
      </c>
      <c r="R361" s="32">
        <v>0.55089999999999995</v>
      </c>
    </row>
    <row r="362" spans="5:18">
      <c r="E362" s="24">
        <v>0.92969999999999997</v>
      </c>
      <c r="R362" s="32">
        <v>0.52610000000000001</v>
      </c>
    </row>
    <row r="363" spans="5:18">
      <c r="E363" s="24">
        <v>0.92969999999999997</v>
      </c>
      <c r="R363" s="32">
        <v>0.52610000000000001</v>
      </c>
    </row>
    <row r="364" spans="5:18">
      <c r="E364" s="24">
        <v>0.92969999999999997</v>
      </c>
      <c r="R364" s="32">
        <v>0.52349999999999997</v>
      </c>
    </row>
    <row r="365" spans="5:18">
      <c r="E365" s="24">
        <v>0.92969999999999997</v>
      </c>
      <c r="R365" s="32">
        <v>0.5222</v>
      </c>
    </row>
    <row r="366" spans="5:18">
      <c r="E366" s="24">
        <v>0.92969999999999997</v>
      </c>
      <c r="R366" s="32">
        <v>0.52090000000000003</v>
      </c>
    </row>
    <row r="367" spans="5:18">
      <c r="E367" s="24">
        <v>0.92969999999999997</v>
      </c>
      <c r="R367" s="33" t="s">
        <v>55</v>
      </c>
    </row>
    <row r="368" spans="5:18">
      <c r="E368" s="24">
        <v>0.92969999999999997</v>
      </c>
      <c r="R368" s="27"/>
    </row>
    <row r="369" spans="5:18">
      <c r="E369" s="24">
        <v>0.93149999999999999</v>
      </c>
      <c r="R369" s="28" t="s">
        <v>84</v>
      </c>
    </row>
    <row r="370" spans="5:18">
      <c r="E370" s="24">
        <v>0.92789999999999995</v>
      </c>
      <c r="R370" s="31" t="s">
        <v>85</v>
      </c>
    </row>
    <row r="371" spans="5:18">
      <c r="E371" s="24">
        <v>0.92789999999999995</v>
      </c>
      <c r="R371" s="32">
        <v>0.92969999999999997</v>
      </c>
    </row>
    <row r="372" spans="5:18">
      <c r="E372" s="24">
        <v>0.92969999999999997</v>
      </c>
      <c r="R372" s="32">
        <v>0.92969999999999997</v>
      </c>
    </row>
    <row r="373" spans="5:18">
      <c r="E373" s="24">
        <v>0.93149999999999999</v>
      </c>
      <c r="R373" s="32">
        <v>0.92969999999999997</v>
      </c>
    </row>
    <row r="374" spans="5:18">
      <c r="E374" s="24">
        <v>0.93320000000000003</v>
      </c>
      <c r="R374" s="32">
        <v>0.92969999999999997</v>
      </c>
    </row>
    <row r="375" spans="5:18">
      <c r="E375" s="24">
        <v>0.93500000000000005</v>
      </c>
      <c r="R375" s="32">
        <v>0.92969999999999997</v>
      </c>
    </row>
    <row r="376" spans="5:18">
      <c r="E376" s="24">
        <v>0.93500000000000005</v>
      </c>
      <c r="R376" s="32">
        <v>0.92969999999999997</v>
      </c>
    </row>
    <row r="377" spans="5:18">
      <c r="E377" s="24">
        <v>0.93320000000000003</v>
      </c>
      <c r="R377" s="32">
        <v>0.92969999999999997</v>
      </c>
    </row>
    <row r="378" spans="5:18">
      <c r="E378" s="24">
        <v>0.93500000000000005</v>
      </c>
      <c r="R378" s="32">
        <v>0.92969999999999997</v>
      </c>
    </row>
    <row r="379" spans="5:18">
      <c r="E379" s="24">
        <v>0.93500000000000005</v>
      </c>
      <c r="R379" s="32">
        <v>0.92969999999999997</v>
      </c>
    </row>
    <row r="380" spans="5:18">
      <c r="E380" s="24">
        <v>0.93500000000000005</v>
      </c>
      <c r="R380" s="32">
        <v>0.92969999999999997</v>
      </c>
    </row>
    <row r="381" spans="5:18">
      <c r="E381" s="24">
        <v>0.93320000000000003</v>
      </c>
      <c r="R381" s="32">
        <v>0.93149999999999999</v>
      </c>
    </row>
    <row r="382" spans="5:18">
      <c r="E382" s="24">
        <v>0.93320000000000003</v>
      </c>
      <c r="R382" s="32">
        <v>0.92789999999999995</v>
      </c>
    </row>
    <row r="383" spans="5:18">
      <c r="E383" s="24">
        <v>0.93320000000000003</v>
      </c>
      <c r="R383" s="32">
        <v>0.92789999999999995</v>
      </c>
    </row>
    <row r="384" spans="5:18">
      <c r="E384" s="24">
        <v>0.93320000000000003</v>
      </c>
      <c r="R384" s="32">
        <v>0.92969999999999997</v>
      </c>
    </row>
    <row r="385" spans="5:18">
      <c r="E385" s="24">
        <v>0.93320000000000003</v>
      </c>
      <c r="R385" s="32">
        <v>0.93149999999999999</v>
      </c>
    </row>
    <row r="386" spans="5:18">
      <c r="E386" s="24">
        <v>0.93320000000000003</v>
      </c>
      <c r="R386" s="32">
        <v>0.93320000000000003</v>
      </c>
    </row>
    <row r="387" spans="5:18">
      <c r="E387" s="24">
        <v>0.93320000000000003</v>
      </c>
      <c r="R387" s="32">
        <v>0.93500000000000005</v>
      </c>
    </row>
    <row r="388" spans="5:18">
      <c r="E388" s="24">
        <v>0.93320000000000003</v>
      </c>
      <c r="R388" s="32">
        <v>0.93500000000000005</v>
      </c>
    </row>
    <row r="389" spans="5:18">
      <c r="E389" s="24">
        <v>0.93320000000000003</v>
      </c>
      <c r="R389" s="32">
        <v>0.93320000000000003</v>
      </c>
    </row>
    <row r="390" spans="5:18">
      <c r="E390" s="24">
        <v>0.93320000000000003</v>
      </c>
      <c r="R390" s="32">
        <v>0.93500000000000005</v>
      </c>
    </row>
    <row r="391" spans="5:18">
      <c r="E391" s="24">
        <v>0.93320000000000003</v>
      </c>
      <c r="R391" s="32">
        <v>0.93500000000000005</v>
      </c>
    </row>
    <row r="392" spans="5:18">
      <c r="E392" s="24">
        <v>0.93320000000000003</v>
      </c>
      <c r="R392" s="32">
        <v>0.93500000000000005</v>
      </c>
    </row>
    <row r="393" spans="5:18">
      <c r="E393" s="24">
        <v>0.93320000000000003</v>
      </c>
      <c r="R393" s="32">
        <v>0.93320000000000003</v>
      </c>
    </row>
    <row r="394" spans="5:18">
      <c r="E394" s="25" t="s">
        <v>55</v>
      </c>
      <c r="R394" s="32">
        <v>0.93320000000000003</v>
      </c>
    </row>
    <row r="395" spans="5:18">
      <c r="E395" s="22" t="s">
        <v>86</v>
      </c>
      <c r="R395" s="32">
        <v>0.93320000000000003</v>
      </c>
    </row>
    <row r="396" spans="5:18">
      <c r="E396" s="24">
        <v>0.91349999999999998</v>
      </c>
      <c r="R396" s="32">
        <v>0.93320000000000003</v>
      </c>
    </row>
    <row r="397" spans="5:18">
      <c r="E397" s="24">
        <v>0.90949999999999998</v>
      </c>
      <c r="R397" s="32">
        <v>0.93320000000000003</v>
      </c>
    </row>
    <row r="398" spans="5:18">
      <c r="E398" s="24">
        <v>0.90949999999999998</v>
      </c>
      <c r="R398" s="32">
        <v>0.93320000000000003</v>
      </c>
    </row>
    <row r="399" spans="5:18">
      <c r="E399" s="24">
        <v>0.90949999999999998</v>
      </c>
      <c r="R399" s="32">
        <v>0.93320000000000003</v>
      </c>
    </row>
    <row r="400" spans="5:18">
      <c r="E400" s="24">
        <v>0.90949999999999998</v>
      </c>
      <c r="R400" s="32">
        <v>0.93320000000000003</v>
      </c>
    </row>
    <row r="401" spans="5:18">
      <c r="E401" s="24">
        <v>0.90949999999999998</v>
      </c>
      <c r="R401" s="32">
        <v>0.93320000000000003</v>
      </c>
    </row>
    <row r="402" spans="5:18">
      <c r="E402" s="24">
        <v>0.90949999999999998</v>
      </c>
      <c r="R402" s="32">
        <v>0.93320000000000003</v>
      </c>
    </row>
    <row r="403" spans="5:18">
      <c r="E403" s="24">
        <v>0.90949999999999998</v>
      </c>
      <c r="R403" s="32">
        <v>0.93320000000000003</v>
      </c>
    </row>
    <row r="404" spans="5:18">
      <c r="E404" s="24">
        <v>0.90949999999999998</v>
      </c>
      <c r="R404" s="32">
        <v>0.93320000000000003</v>
      </c>
    </row>
    <row r="405" spans="5:18">
      <c r="E405" s="24">
        <v>0.90949999999999998</v>
      </c>
      <c r="R405" s="32">
        <v>0.93320000000000003</v>
      </c>
    </row>
    <row r="406" spans="5:18">
      <c r="E406" s="24">
        <v>0.90569999999999995</v>
      </c>
      <c r="R406" s="33" t="s">
        <v>55</v>
      </c>
    </row>
    <row r="407" spans="5:18">
      <c r="E407" s="24">
        <v>0.90610000000000002</v>
      </c>
      <c r="R407" s="27"/>
    </row>
    <row r="408" spans="5:18">
      <c r="E408" s="24">
        <v>0.89770000000000005</v>
      </c>
      <c r="R408" s="28" t="s">
        <v>87</v>
      </c>
    </row>
    <row r="409" spans="5:18">
      <c r="E409" s="24">
        <v>0.89770000000000005</v>
      </c>
      <c r="R409" s="31" t="s">
        <v>88</v>
      </c>
    </row>
    <row r="410" spans="5:18">
      <c r="E410" s="24">
        <v>0.89810000000000001</v>
      </c>
      <c r="R410" s="32">
        <v>0.91349999999999998</v>
      </c>
    </row>
    <row r="411" spans="5:18">
      <c r="E411" s="24">
        <v>0.89859999999999995</v>
      </c>
      <c r="R411" s="32">
        <v>0.90949999999999998</v>
      </c>
    </row>
    <row r="412" spans="5:18">
      <c r="E412" s="24">
        <v>0.89910000000000001</v>
      </c>
      <c r="R412" s="32">
        <v>0.90949999999999998</v>
      </c>
    </row>
    <row r="413" spans="5:18">
      <c r="E413" s="24">
        <v>0.89949999999999997</v>
      </c>
      <c r="R413" s="32">
        <v>0.90949999999999998</v>
      </c>
    </row>
    <row r="414" spans="5:18">
      <c r="E414" s="24">
        <v>0.89949999999999997</v>
      </c>
      <c r="R414" s="32">
        <v>0.90949999999999998</v>
      </c>
    </row>
    <row r="415" spans="5:18">
      <c r="E415" s="24">
        <v>0.89549999999999996</v>
      </c>
      <c r="R415" s="32">
        <v>0.90949999999999998</v>
      </c>
    </row>
    <row r="416" spans="5:18">
      <c r="E416" s="24">
        <v>0.89590000000000003</v>
      </c>
      <c r="R416" s="32">
        <v>0.90949999999999998</v>
      </c>
    </row>
    <row r="417" spans="5:18">
      <c r="E417" s="24">
        <v>0.89590000000000003</v>
      </c>
      <c r="R417" s="32">
        <v>0.90949999999999998</v>
      </c>
    </row>
    <row r="418" spans="5:18">
      <c r="E418" s="24">
        <v>0.89590000000000003</v>
      </c>
      <c r="R418" s="32">
        <v>0.90949999999999998</v>
      </c>
    </row>
    <row r="419" spans="5:18">
      <c r="E419" s="24">
        <v>0.89190000000000003</v>
      </c>
      <c r="R419" s="32">
        <v>0.90949999999999998</v>
      </c>
    </row>
    <row r="420" spans="5:18">
      <c r="E420" s="24">
        <v>0.89190000000000003</v>
      </c>
      <c r="R420" s="32">
        <v>0.90569999999999995</v>
      </c>
    </row>
    <row r="421" spans="5:18">
      <c r="E421" s="24">
        <v>0.89190000000000003</v>
      </c>
      <c r="R421" s="32">
        <v>0.90610000000000002</v>
      </c>
    </row>
    <row r="422" spans="5:18">
      <c r="E422" s="24">
        <v>0.89190000000000003</v>
      </c>
      <c r="R422" s="32">
        <v>0.89770000000000005</v>
      </c>
    </row>
    <row r="423" spans="5:18">
      <c r="E423" s="24">
        <v>0.89190000000000003</v>
      </c>
      <c r="R423" s="32">
        <v>0.89770000000000005</v>
      </c>
    </row>
    <row r="424" spans="5:18">
      <c r="E424" s="24">
        <v>0.89190000000000003</v>
      </c>
      <c r="R424" s="32">
        <v>0.89810000000000001</v>
      </c>
    </row>
    <row r="425" spans="5:18">
      <c r="E425" s="24">
        <v>0.89190000000000003</v>
      </c>
      <c r="R425" s="32">
        <v>0.89859999999999995</v>
      </c>
    </row>
    <row r="426" spans="5:18">
      <c r="E426" s="24">
        <v>0.89190000000000003</v>
      </c>
      <c r="R426" s="32">
        <v>0.89910000000000001</v>
      </c>
    </row>
    <row r="427" spans="5:18">
      <c r="E427" s="24">
        <v>0.89190000000000003</v>
      </c>
      <c r="R427" s="32">
        <v>0.89949999999999997</v>
      </c>
    </row>
    <row r="428" spans="5:18">
      <c r="E428" s="24">
        <v>0.88839999999999997</v>
      </c>
      <c r="R428" s="32">
        <v>0.89949999999999997</v>
      </c>
    </row>
    <row r="429" spans="5:18">
      <c r="E429" s="24">
        <v>0.88839999999999997</v>
      </c>
      <c r="R429" s="32">
        <v>0.89549999999999996</v>
      </c>
    </row>
    <row r="430" spans="5:18">
      <c r="E430" s="24">
        <v>0.88839999999999997</v>
      </c>
      <c r="R430" s="32">
        <v>0.89590000000000003</v>
      </c>
    </row>
    <row r="431" spans="5:18">
      <c r="E431" s="24">
        <v>0.88839999999999997</v>
      </c>
      <c r="R431" s="32">
        <v>0.89590000000000003</v>
      </c>
    </row>
    <row r="432" spans="5:18">
      <c r="E432" s="25" t="s">
        <v>55</v>
      </c>
      <c r="R432" s="32">
        <v>0.89590000000000003</v>
      </c>
    </row>
    <row r="433" spans="5:18">
      <c r="E433" s="20"/>
      <c r="R433" s="32">
        <v>0.89190000000000003</v>
      </c>
    </row>
    <row r="434" spans="5:18">
      <c r="E434" s="21" t="s">
        <v>22</v>
      </c>
      <c r="R434" s="32">
        <v>0.89190000000000003</v>
      </c>
    </row>
    <row r="435" spans="5:18">
      <c r="E435" s="21" t="s">
        <v>89</v>
      </c>
      <c r="R435" s="32">
        <v>0.89190000000000003</v>
      </c>
    </row>
    <row r="436" spans="5:18">
      <c r="E436" s="21" t="s">
        <v>22</v>
      </c>
      <c r="R436" s="32">
        <v>0.89190000000000003</v>
      </c>
    </row>
    <row r="437" spans="5:18">
      <c r="E437" s="22" t="s">
        <v>90</v>
      </c>
      <c r="R437" s="32">
        <v>0.89190000000000003</v>
      </c>
    </row>
    <row r="438" spans="5:18">
      <c r="E438" s="22" t="s">
        <v>91</v>
      </c>
      <c r="R438" s="32">
        <v>0.89190000000000003</v>
      </c>
    </row>
    <row r="439" spans="5:18">
      <c r="E439" s="22" t="s">
        <v>92</v>
      </c>
      <c r="R439" s="32">
        <v>0.89190000000000003</v>
      </c>
    </row>
    <row r="440" spans="5:18">
      <c r="E440" s="22" t="s">
        <v>93</v>
      </c>
      <c r="R440" s="32">
        <v>0.89190000000000003</v>
      </c>
    </row>
    <row r="441" spans="5:18">
      <c r="E441" s="22" t="s">
        <v>94</v>
      </c>
      <c r="R441" s="32">
        <v>0.89190000000000003</v>
      </c>
    </row>
    <row r="442" spans="5:18">
      <c r="E442" s="22" t="s">
        <v>95</v>
      </c>
      <c r="R442" s="32">
        <v>0.88839999999999997</v>
      </c>
    </row>
    <row r="443" spans="5:18">
      <c r="E443" s="22" t="s">
        <v>96</v>
      </c>
      <c r="R443" s="32">
        <v>0.88839999999999997</v>
      </c>
    </row>
    <row r="444" spans="5:18">
      <c r="E444" s="22" t="s">
        <v>97</v>
      </c>
      <c r="R444" s="32">
        <v>0.88839999999999997</v>
      </c>
    </row>
    <row r="445" spans="5:18">
      <c r="E445" s="22" t="s">
        <v>98</v>
      </c>
      <c r="R445" s="32">
        <v>0.88839999999999997</v>
      </c>
    </row>
    <row r="446" spans="5:18">
      <c r="E446" s="22" t="s">
        <v>99</v>
      </c>
      <c r="R446" s="33" t="s">
        <v>55</v>
      </c>
    </row>
    <row r="447" spans="5:18">
      <c r="E447" s="22" t="s">
        <v>100</v>
      </c>
      <c r="R447" s="27"/>
    </row>
    <row r="448" spans="5:18">
      <c r="E448" s="22" t="s">
        <v>101</v>
      </c>
      <c r="R448" s="27"/>
    </row>
    <row r="449" spans="5:18">
      <c r="E449" s="20"/>
      <c r="R449" s="28" t="s">
        <v>22</v>
      </c>
    </row>
    <row r="450" spans="5:18">
      <c r="E450" s="20"/>
      <c r="R450" s="28" t="s">
        <v>102</v>
      </c>
    </row>
    <row r="451" spans="5:18">
      <c r="E451" s="22" t="s">
        <v>103</v>
      </c>
      <c r="R451" s="28" t="s">
        <v>22</v>
      </c>
    </row>
    <row r="452" spans="5:18">
      <c r="E452" s="22" t="s">
        <v>104</v>
      </c>
      <c r="R452" s="31" t="s">
        <v>105</v>
      </c>
    </row>
    <row r="453" spans="5:18">
      <c r="E453" s="22" t="s">
        <v>106</v>
      </c>
      <c r="R453" s="31" t="s">
        <v>107</v>
      </c>
    </row>
    <row r="454" spans="5:18">
      <c r="E454" s="22" t="s">
        <v>108</v>
      </c>
      <c r="R454" s="27"/>
    </row>
    <row r="455" spans="5:18">
      <c r="E455" s="22" t="s">
        <v>109</v>
      </c>
      <c r="R455" s="31" t="s">
        <v>110</v>
      </c>
    </row>
    <row r="456" spans="5:18">
      <c r="E456" s="22" t="s">
        <v>111</v>
      </c>
      <c r="R456" s="31" t="s">
        <v>112</v>
      </c>
    </row>
    <row r="457" spans="5:18">
      <c r="E457" s="25" t="s">
        <v>113</v>
      </c>
      <c r="R457" s="27"/>
    </row>
    <row r="458" spans="5:18">
      <c r="E458" s="22" t="s">
        <v>114</v>
      </c>
      <c r="R458" s="31" t="s">
        <v>115</v>
      </c>
    </row>
    <row r="459" spans="5:18">
      <c r="E459" s="22" t="s">
        <v>116</v>
      </c>
      <c r="R459" s="31" t="s">
        <v>117</v>
      </c>
    </row>
    <row r="460" spans="5:18">
      <c r="E460" s="22" t="s">
        <v>118</v>
      </c>
      <c r="R460" s="27"/>
    </row>
    <row r="461" spans="5:18">
      <c r="E461" s="22" t="s">
        <v>119</v>
      </c>
      <c r="R461" s="31" t="s">
        <v>120</v>
      </c>
    </row>
    <row r="462" spans="5:18">
      <c r="E462" s="22" t="s">
        <v>121</v>
      </c>
      <c r="R462" s="31" t="s">
        <v>122</v>
      </c>
    </row>
    <row r="463" spans="5:18">
      <c r="E463" s="25" t="s">
        <v>113</v>
      </c>
      <c r="R463" s="27"/>
    </row>
    <row r="464" spans="5:18">
      <c r="E464" s="22" t="s">
        <v>123</v>
      </c>
      <c r="R464" s="31" t="s">
        <v>124</v>
      </c>
    </row>
    <row r="465" spans="5:18">
      <c r="E465" s="22" t="s">
        <v>125</v>
      </c>
      <c r="R465" s="31" t="s">
        <v>126</v>
      </c>
    </row>
    <row r="466" spans="5:18">
      <c r="E466" s="22" t="s">
        <v>127</v>
      </c>
      <c r="R466" s="27"/>
    </row>
    <row r="467" spans="5:18">
      <c r="E467" s="22" t="s">
        <v>128</v>
      </c>
      <c r="R467" s="31" t="s">
        <v>129</v>
      </c>
    </row>
    <row r="468" spans="5:18">
      <c r="E468" s="21" t="s">
        <v>130</v>
      </c>
      <c r="R468" s="31" t="s">
        <v>131</v>
      </c>
    </row>
    <row r="469" spans="5:18">
      <c r="E469" s="21" t="s">
        <v>113</v>
      </c>
      <c r="R469" s="27"/>
    </row>
    <row r="470" spans="5:18">
      <c r="E470" s="22" t="s">
        <v>132</v>
      </c>
      <c r="R470" s="27"/>
    </row>
    <row r="471" spans="5:18">
      <c r="E471" s="22" t="s">
        <v>133</v>
      </c>
      <c r="R471" s="28" t="s">
        <v>22</v>
      </c>
    </row>
    <row r="472" spans="5:18">
      <c r="E472" s="22" t="s">
        <v>134</v>
      </c>
      <c r="R472" s="28" t="s">
        <v>135</v>
      </c>
    </row>
    <row r="473" spans="5:18">
      <c r="E473" s="22" t="s">
        <v>136</v>
      </c>
      <c r="R473" s="28" t="s">
        <v>22</v>
      </c>
    </row>
    <row r="474" spans="5:18">
      <c r="E474" s="22" t="s">
        <v>111</v>
      </c>
      <c r="R474" s="31" t="s">
        <v>137</v>
      </c>
    </row>
    <row r="475" spans="5:18">
      <c r="E475" s="25" t="s">
        <v>113</v>
      </c>
      <c r="R475" s="30" t="s">
        <v>138</v>
      </c>
    </row>
    <row r="476" spans="5:18">
      <c r="E476" s="22" t="s">
        <v>139</v>
      </c>
      <c r="R476" s="30" t="s">
        <v>140</v>
      </c>
    </row>
    <row r="477" spans="5:18">
      <c r="E477" s="22" t="s">
        <v>141</v>
      </c>
      <c r="R477" s="30" t="s">
        <v>142</v>
      </c>
    </row>
    <row r="478" spans="5:18">
      <c r="E478" s="22" t="s">
        <v>143</v>
      </c>
      <c r="R478" s="30" t="s">
        <v>144</v>
      </c>
    </row>
    <row r="479" spans="5:18">
      <c r="E479" s="22" t="s">
        <v>109</v>
      </c>
      <c r="R479" s="30" t="s">
        <v>145</v>
      </c>
    </row>
    <row r="480" spans="5:18">
      <c r="E480" s="22" t="s">
        <v>121</v>
      </c>
      <c r="R480" s="30" t="s">
        <v>146</v>
      </c>
    </row>
    <row r="481" spans="5:18">
      <c r="E481" s="25" t="s">
        <v>113</v>
      </c>
      <c r="R481" s="30" t="s">
        <v>147</v>
      </c>
    </row>
    <row r="482" spans="5:18">
      <c r="E482" s="22" t="s">
        <v>148</v>
      </c>
      <c r="R482" s="30" t="s">
        <v>149</v>
      </c>
    </row>
    <row r="483" spans="5:18">
      <c r="E483" s="22" t="s">
        <v>150</v>
      </c>
      <c r="R483" s="30" t="s">
        <v>151</v>
      </c>
    </row>
    <row r="484" spans="5:18">
      <c r="E484" s="22" t="s">
        <v>152</v>
      </c>
      <c r="R484" s="30" t="s">
        <v>153</v>
      </c>
    </row>
    <row r="485" spans="5:18">
      <c r="E485" s="22" t="s">
        <v>119</v>
      </c>
      <c r="R485" s="30" t="s">
        <v>154</v>
      </c>
    </row>
    <row r="486" spans="5:18">
      <c r="E486" s="22" t="s">
        <v>155</v>
      </c>
      <c r="R486" s="30" t="s">
        <v>146</v>
      </c>
    </row>
    <row r="487" spans="5:18">
      <c r="E487" s="25" t="s">
        <v>113</v>
      </c>
      <c r="R487" s="30" t="s">
        <v>156</v>
      </c>
    </row>
    <row r="488" spans="5:18">
      <c r="E488" s="22" t="s">
        <v>157</v>
      </c>
      <c r="R488" s="30" t="s">
        <v>158</v>
      </c>
    </row>
    <row r="489" spans="5:18">
      <c r="E489" s="20"/>
      <c r="R489" s="30" t="s">
        <v>159</v>
      </c>
    </row>
    <row r="490" spans="5:18">
      <c r="E490" s="21" t="s">
        <v>22</v>
      </c>
      <c r="R490" s="30" t="s">
        <v>160</v>
      </c>
    </row>
    <row r="491" spans="5:18">
      <c r="E491" s="21" t="s">
        <v>161</v>
      </c>
      <c r="R491" s="30" t="s">
        <v>162</v>
      </c>
    </row>
    <row r="492" spans="5:18">
      <c r="E492" s="21" t="s">
        <v>22</v>
      </c>
      <c r="R492" s="30" t="s">
        <v>146</v>
      </c>
    </row>
    <row r="493" spans="5:18">
      <c r="E493" s="22" t="s">
        <v>163</v>
      </c>
      <c r="R493" s="30" t="s">
        <v>164</v>
      </c>
    </row>
    <row r="494" spans="5:18">
      <c r="E494" s="20"/>
      <c r="R494" s="30" t="s">
        <v>165</v>
      </c>
    </row>
    <row r="495" spans="5:18">
      <c r="E495" s="21" t="s">
        <v>166</v>
      </c>
      <c r="R495" s="30" t="s">
        <v>167</v>
      </c>
    </row>
    <row r="496" spans="5:18">
      <c r="E496" s="19" t="s">
        <v>168</v>
      </c>
      <c r="R496" s="30" t="s">
        <v>169</v>
      </c>
    </row>
    <row r="497" spans="5:18">
      <c r="E497" s="22" t="s">
        <v>170</v>
      </c>
      <c r="R497" s="30" t="s">
        <v>145</v>
      </c>
    </row>
    <row r="498" spans="5:18">
      <c r="E498" s="22" t="s">
        <v>171</v>
      </c>
      <c r="R498" s="30" t="s">
        <v>146</v>
      </c>
    </row>
    <row r="499" spans="5:18">
      <c r="E499" s="22" t="s">
        <v>172</v>
      </c>
      <c r="R499" s="30" t="s">
        <v>173</v>
      </c>
    </row>
    <row r="500" spans="5:18">
      <c r="E500" s="22" t="s">
        <v>174</v>
      </c>
      <c r="R500" s="30" t="s">
        <v>175</v>
      </c>
    </row>
    <row r="501" spans="5:18">
      <c r="E501" s="22" t="s">
        <v>176</v>
      </c>
      <c r="R501" s="30" t="s">
        <v>177</v>
      </c>
    </row>
    <row r="502" spans="5:18">
      <c r="E502" s="22" t="s">
        <v>178</v>
      </c>
      <c r="R502" s="30" t="s">
        <v>144</v>
      </c>
    </row>
    <row r="503" spans="5:18">
      <c r="E503" s="22" t="s">
        <v>179</v>
      </c>
      <c r="R503" s="30" t="s">
        <v>154</v>
      </c>
    </row>
    <row r="504" spans="5:18">
      <c r="E504" s="22" t="s">
        <v>180</v>
      </c>
      <c r="R504" s="30" t="s">
        <v>146</v>
      </c>
    </row>
    <row r="505" spans="5:18">
      <c r="E505" s="22" t="s">
        <v>181</v>
      </c>
      <c r="R505" s="30" t="s">
        <v>182</v>
      </c>
    </row>
    <row r="506" spans="5:18">
      <c r="E506" s="20"/>
      <c r="R506" s="30" t="s">
        <v>183</v>
      </c>
    </row>
    <row r="507" spans="5:18">
      <c r="E507" s="21" t="s">
        <v>184</v>
      </c>
      <c r="R507" s="30" t="s">
        <v>185</v>
      </c>
    </row>
    <row r="508" spans="5:18">
      <c r="E508" s="19" t="s">
        <v>168</v>
      </c>
      <c r="R508" s="30" t="s">
        <v>153</v>
      </c>
    </row>
    <row r="509" spans="5:18">
      <c r="E509" s="22" t="s">
        <v>186</v>
      </c>
      <c r="R509" s="30" t="s">
        <v>162</v>
      </c>
    </row>
    <row r="510" spans="5:18">
      <c r="E510" s="22" t="s">
        <v>187</v>
      </c>
      <c r="R510" s="30" t="s">
        <v>146</v>
      </c>
    </row>
    <row r="511" spans="5:18">
      <c r="E511" s="22" t="s">
        <v>172</v>
      </c>
      <c r="R511" s="30" t="s">
        <v>157</v>
      </c>
    </row>
    <row r="512" spans="5:18">
      <c r="E512" s="22" t="s">
        <v>174</v>
      </c>
      <c r="R512" s="27"/>
    </row>
    <row r="513" spans="5:18">
      <c r="E513" s="22" t="s">
        <v>176</v>
      </c>
      <c r="R513" s="27"/>
    </row>
    <row r="514" spans="5:18">
      <c r="E514" s="22" t="s">
        <v>188</v>
      </c>
      <c r="R514" s="28" t="s">
        <v>22</v>
      </c>
    </row>
    <row r="515" spans="5:18">
      <c r="E515" s="22" t="s">
        <v>189</v>
      </c>
      <c r="R515" s="28" t="s">
        <v>190</v>
      </c>
    </row>
    <row r="516" spans="5:18">
      <c r="E516" s="22" t="s">
        <v>191</v>
      </c>
      <c r="R516" s="28" t="s">
        <v>22</v>
      </c>
    </row>
    <row r="517" spans="5:18">
      <c r="E517" s="22" t="s">
        <v>192</v>
      </c>
      <c r="R517" s="31" t="s">
        <v>193</v>
      </c>
    </row>
    <row r="518" spans="5:18">
      <c r="E518" s="20"/>
      <c r="R518" s="27"/>
    </row>
    <row r="519" spans="5:18">
      <c r="E519" s="22" t="s">
        <v>194</v>
      </c>
      <c r="R519" s="28" t="s">
        <v>166</v>
      </c>
    </row>
    <row r="520" spans="5:18">
      <c r="E520" s="22" t="s">
        <v>195</v>
      </c>
      <c r="R520" s="26" t="s">
        <v>196</v>
      </c>
    </row>
    <row r="521" spans="5:18">
      <c r="R521" s="30" t="s">
        <v>197</v>
      </c>
    </row>
    <row r="522" spans="5:18">
      <c r="R522" s="30" t="s">
        <v>198</v>
      </c>
    </row>
    <row r="523" spans="5:18">
      <c r="R523" s="30" t="s">
        <v>199</v>
      </c>
    </row>
    <row r="524" spans="5:18">
      <c r="R524" s="30" t="s">
        <v>200</v>
      </c>
    </row>
    <row r="525" spans="5:18">
      <c r="R525" s="30" t="s">
        <v>201</v>
      </c>
    </row>
    <row r="526" spans="5:18">
      <c r="R526" s="31" t="s">
        <v>202</v>
      </c>
    </row>
    <row r="527" spans="5:18">
      <c r="R527" s="31" t="s">
        <v>203</v>
      </c>
    </row>
    <row r="528" spans="5:18">
      <c r="R528" s="31" t="s">
        <v>204</v>
      </c>
    </row>
    <row r="529" spans="18:18">
      <c r="R529" s="31" t="s">
        <v>205</v>
      </c>
    </row>
    <row r="530" spans="18:18">
      <c r="R530" s="31" t="s">
        <v>206</v>
      </c>
    </row>
    <row r="531" spans="18:18">
      <c r="R531" s="27"/>
    </row>
    <row r="532" spans="18:18">
      <c r="R532" s="28" t="s">
        <v>184</v>
      </c>
    </row>
    <row r="533" spans="18:18">
      <c r="R533" s="26" t="s">
        <v>196</v>
      </c>
    </row>
    <row r="534" spans="18:18">
      <c r="R534" s="30" t="s">
        <v>207</v>
      </c>
    </row>
    <row r="535" spans="18:18">
      <c r="R535" s="30" t="s">
        <v>208</v>
      </c>
    </row>
    <row r="536" spans="18:18">
      <c r="R536" s="30" t="s">
        <v>199</v>
      </c>
    </row>
    <row r="537" spans="18:18">
      <c r="R537" s="30" t="s">
        <v>200</v>
      </c>
    </row>
    <row r="538" spans="18:18">
      <c r="R538" s="30" t="s">
        <v>201</v>
      </c>
    </row>
    <row r="539" spans="18:18">
      <c r="R539" s="31" t="s">
        <v>209</v>
      </c>
    </row>
    <row r="540" spans="18:18">
      <c r="R540" s="31" t="s">
        <v>210</v>
      </c>
    </row>
    <row r="541" spans="18:18">
      <c r="R541" s="31" t="s">
        <v>211</v>
      </c>
    </row>
    <row r="542" spans="18:18">
      <c r="R542" s="31" t="s">
        <v>212</v>
      </c>
    </row>
    <row r="543" spans="18:18">
      <c r="R543" s="31" t="s">
        <v>213</v>
      </c>
    </row>
    <row r="544" spans="18:18">
      <c r="R544" s="27"/>
    </row>
    <row r="545" spans="18:18">
      <c r="R545" s="34" t="s">
        <v>214</v>
      </c>
    </row>
    <row r="546" spans="18:18">
      <c r="R546" s="34" t="s">
        <v>215</v>
      </c>
    </row>
    <row r="547" spans="18:18">
      <c r="R547" s="27"/>
    </row>
    <row r="548" spans="18:18">
      <c r="R548" s="27"/>
    </row>
    <row r="549" spans="18:18">
      <c r="R549" s="28" t="s">
        <v>22</v>
      </c>
    </row>
    <row r="550" spans="18:18">
      <c r="R550" s="28" t="s">
        <v>216</v>
      </c>
    </row>
    <row r="551" spans="18:18">
      <c r="R551" s="28" t="s">
        <v>22</v>
      </c>
    </row>
    <row r="552" spans="18:18">
      <c r="R552" s="27"/>
    </row>
    <row r="553" spans="18:18">
      <c r="R553" s="31" t="s">
        <v>217</v>
      </c>
    </row>
    <row r="554" spans="18:18">
      <c r="R554" s="30" t="s">
        <v>218</v>
      </c>
    </row>
    <row r="555" spans="18:18">
      <c r="R555" s="30" t="s">
        <v>219</v>
      </c>
    </row>
    <row r="556" spans="18:18">
      <c r="R556" s="30" t="s">
        <v>220</v>
      </c>
    </row>
    <row r="557" spans="18:18">
      <c r="R557" s="27"/>
    </row>
    <row r="558" spans="18:18">
      <c r="R558" s="31" t="s">
        <v>221</v>
      </c>
    </row>
    <row r="559" spans="18:18">
      <c r="R559" s="30" t="s">
        <v>222</v>
      </c>
    </row>
    <row r="560" spans="18:18">
      <c r="R560" s="30" t="s">
        <v>223</v>
      </c>
    </row>
    <row r="561" spans="18:18">
      <c r="R561" s="30" t="s">
        <v>220</v>
      </c>
    </row>
    <row r="562" spans="18:18">
      <c r="R562" s="27"/>
    </row>
    <row r="563" spans="18:18">
      <c r="R563" s="31" t="s">
        <v>224</v>
      </c>
    </row>
    <row r="564" spans="18:18">
      <c r="R564" s="30" t="s">
        <v>225</v>
      </c>
    </row>
    <row r="565" spans="18:18">
      <c r="R565" s="30" t="s">
        <v>226</v>
      </c>
    </row>
    <row r="566" spans="18:18">
      <c r="R566" s="30" t="s">
        <v>227</v>
      </c>
    </row>
    <row r="567" spans="18:18">
      <c r="R567" s="30" t="s">
        <v>228</v>
      </c>
    </row>
    <row r="568" spans="18:18">
      <c r="R568" s="30" t="s">
        <v>220</v>
      </c>
    </row>
    <row r="569" spans="18:18">
      <c r="R569" s="28" t="s">
        <v>229</v>
      </c>
    </row>
    <row r="570" spans="18:18">
      <c r="R570" s="31" t="s">
        <v>230</v>
      </c>
    </row>
    <row r="571" spans="18:18">
      <c r="R571" s="27"/>
    </row>
    <row r="572" spans="18:18">
      <c r="R572" s="31" t="s">
        <v>231</v>
      </c>
    </row>
    <row r="573" spans="18:18">
      <c r="R573" s="30" t="s">
        <v>232</v>
      </c>
    </row>
    <row r="574" spans="18:18">
      <c r="R574" s="30" t="s">
        <v>233</v>
      </c>
    </row>
    <row r="575" spans="18:18">
      <c r="R575" s="30" t="s">
        <v>220</v>
      </c>
    </row>
    <row r="576" spans="18:18">
      <c r="R576" s="27"/>
    </row>
    <row r="577" spans="18:18">
      <c r="R577" s="31" t="s">
        <v>234</v>
      </c>
    </row>
    <row r="578" spans="18:18">
      <c r="R578" s="30" t="s">
        <v>235</v>
      </c>
    </row>
    <row r="579" spans="18:18">
      <c r="R579" s="30" t="s">
        <v>236</v>
      </c>
    </row>
    <row r="580" spans="18:18">
      <c r="R580" s="30" t="s">
        <v>220</v>
      </c>
    </row>
    <row r="581" spans="18:18">
      <c r="R581" s="27"/>
    </row>
    <row r="582" spans="18:18">
      <c r="R582" s="31" t="s">
        <v>237</v>
      </c>
    </row>
    <row r="583" spans="18:18">
      <c r="R583" s="30" t="s">
        <v>238</v>
      </c>
    </row>
    <row r="584" spans="18:18">
      <c r="R584" s="30" t="s">
        <v>239</v>
      </c>
    </row>
    <row r="585" spans="18:18">
      <c r="R585" s="30" t="s">
        <v>220</v>
      </c>
    </row>
    <row r="586" spans="18:18">
      <c r="R586" s="27"/>
    </row>
    <row r="587" spans="18:18">
      <c r="R587" s="28" t="s">
        <v>240</v>
      </c>
    </row>
    <row r="588" spans="18:18">
      <c r="R588" s="35" t="s">
        <v>241</v>
      </c>
    </row>
    <row r="589" spans="18:18">
      <c r="R589" s="35" t="s">
        <v>242</v>
      </c>
    </row>
    <row r="590" spans="18:18">
      <c r="R590" s="35" t="s">
        <v>243</v>
      </c>
    </row>
    <row r="591" spans="18:18">
      <c r="R591" s="35" t="s">
        <v>244</v>
      </c>
    </row>
    <row r="592" spans="18:18">
      <c r="R592" s="35" t="s">
        <v>245</v>
      </c>
    </row>
    <row r="593" spans="18:18">
      <c r="R593" s="35" t="s">
        <v>246</v>
      </c>
    </row>
    <row r="594" spans="18:18">
      <c r="R594" s="27"/>
    </row>
    <row r="595" spans="18:18">
      <c r="R595" s="27"/>
    </row>
    <row r="596" spans="18:18">
      <c r="R596" s="28" t="s">
        <v>22</v>
      </c>
    </row>
    <row r="597" spans="18:18">
      <c r="R597" s="28" t="s">
        <v>247</v>
      </c>
    </row>
    <row r="598" spans="18:18">
      <c r="R598" s="28" t="s">
        <v>22</v>
      </c>
    </row>
    <row r="599" spans="18:18">
      <c r="R599" s="31" t="s">
        <v>248</v>
      </c>
    </row>
    <row r="600" spans="18:18">
      <c r="R600" s="30" t="s">
        <v>138</v>
      </c>
    </row>
    <row r="601" spans="18:18">
      <c r="R601" s="30" t="s">
        <v>249</v>
      </c>
    </row>
    <row r="602" spans="18:18">
      <c r="R602" s="30" t="s">
        <v>140</v>
      </c>
    </row>
    <row r="603" spans="18:18">
      <c r="R603" s="30" t="s">
        <v>146</v>
      </c>
    </row>
    <row r="604" spans="18:18">
      <c r="R604" s="30" t="s">
        <v>147</v>
      </c>
    </row>
    <row r="605" spans="18:18">
      <c r="R605" s="30" t="s">
        <v>250</v>
      </c>
    </row>
    <row r="606" spans="18:18">
      <c r="R606" s="30" t="s">
        <v>149</v>
      </c>
    </row>
    <row r="607" spans="18:18">
      <c r="R607" s="30" t="s">
        <v>146</v>
      </c>
    </row>
    <row r="608" spans="18:18">
      <c r="R608" s="30" t="s">
        <v>182</v>
      </c>
    </row>
    <row r="609" spans="18:18">
      <c r="R609" s="30" t="s">
        <v>251</v>
      </c>
    </row>
    <row r="610" spans="18:18">
      <c r="R610" s="30" t="s">
        <v>183</v>
      </c>
    </row>
    <row r="611" spans="18:18">
      <c r="R611" s="30" t="s">
        <v>146</v>
      </c>
    </row>
    <row r="612" spans="18:18">
      <c r="R612" s="30" t="s">
        <v>156</v>
      </c>
    </row>
    <row r="613" spans="18:18">
      <c r="R613" s="30" t="s">
        <v>252</v>
      </c>
    </row>
    <row r="614" spans="18:18">
      <c r="R614" s="30" t="s">
        <v>158</v>
      </c>
    </row>
    <row r="615" spans="18:18">
      <c r="R615" s="30" t="s">
        <v>146</v>
      </c>
    </row>
    <row r="616" spans="18:18">
      <c r="R616" s="30" t="s">
        <v>164</v>
      </c>
    </row>
    <row r="617" spans="18:18">
      <c r="R617" s="30" t="s">
        <v>253</v>
      </c>
    </row>
    <row r="618" spans="18:18">
      <c r="R618" s="30" t="s">
        <v>165</v>
      </c>
    </row>
    <row r="619" spans="18:18">
      <c r="R619" s="30" t="s">
        <v>146</v>
      </c>
    </row>
    <row r="620" spans="18:18">
      <c r="R620" s="30" t="s">
        <v>173</v>
      </c>
    </row>
    <row r="621" spans="18:18">
      <c r="R621" s="30" t="s">
        <v>254</v>
      </c>
    </row>
    <row r="622" spans="18:18">
      <c r="R622" s="30" t="s">
        <v>175</v>
      </c>
    </row>
    <row r="623" spans="18:18">
      <c r="R623" s="30" t="s">
        <v>146</v>
      </c>
    </row>
    <row r="624" spans="18:18">
      <c r="R624" s="30" t="s">
        <v>157</v>
      </c>
    </row>
    <row r="625" spans="18:18">
      <c r="R625" s="27"/>
    </row>
    <row r="626" spans="18:18">
      <c r="R626" s="34" t="s">
        <v>255</v>
      </c>
    </row>
    <row r="627" spans="18:18">
      <c r="R627" s="27"/>
    </row>
    <row r="628" spans="18:18">
      <c r="R628" s="31" t="s">
        <v>256</v>
      </c>
    </row>
    <row r="629" spans="18:18">
      <c r="R629" s="31" t="s">
        <v>257</v>
      </c>
    </row>
    <row r="630" spans="18:18">
      <c r="R630" s="27"/>
    </row>
    <row r="631" spans="18:18">
      <c r="R631" s="26" t="s">
        <v>258</v>
      </c>
    </row>
    <row r="632" spans="18:18">
      <c r="R632" s="30" t="s">
        <v>259</v>
      </c>
    </row>
    <row r="633" spans="18:18">
      <c r="R633" s="30" t="s">
        <v>260</v>
      </c>
    </row>
    <row r="634" spans="18:18">
      <c r="R634" s="27"/>
    </row>
    <row r="635" spans="18:18">
      <c r="R635" s="30" t="s">
        <v>261</v>
      </c>
    </row>
    <row r="636" spans="18:18">
      <c r="R636" s="30" t="s">
        <v>262</v>
      </c>
    </row>
    <row r="637" spans="18:18">
      <c r="R637" s="30" t="s">
        <v>263</v>
      </c>
    </row>
    <row r="638" spans="18:18">
      <c r="R638" s="27"/>
    </row>
    <row r="639" spans="18:18">
      <c r="R639" s="30" t="s">
        <v>264</v>
      </c>
    </row>
    <row r="640" spans="18:18">
      <c r="R640" s="30" t="s">
        <v>265</v>
      </c>
    </row>
    <row r="641" spans="18:18">
      <c r="R641" s="30" t="s">
        <v>266</v>
      </c>
    </row>
    <row r="642" spans="18:18">
      <c r="R642" s="30" t="s">
        <v>267</v>
      </c>
    </row>
    <row r="643" spans="18:18">
      <c r="R643" s="30" t="s">
        <v>268</v>
      </c>
    </row>
    <row r="644" spans="18:18">
      <c r="R644" s="30" t="s">
        <v>269</v>
      </c>
    </row>
    <row r="645" spans="18:18">
      <c r="R645" s="30" t="s">
        <v>270</v>
      </c>
    </row>
    <row r="646" spans="18:18">
      <c r="R646" s="27"/>
    </row>
    <row r="647" spans="18:18">
      <c r="R647" s="34" t="s">
        <v>271</v>
      </c>
    </row>
    <row r="648" spans="18:18">
      <c r="R648" s="34" t="s">
        <v>272</v>
      </c>
    </row>
    <row r="649" spans="18:18">
      <c r="R649" s="34" t="s">
        <v>273</v>
      </c>
    </row>
    <row r="650" spans="18:18">
      <c r="R650" s="34" t="s">
        <v>274</v>
      </c>
    </row>
    <row r="651" spans="18:18">
      <c r="R651" s="34" t="s">
        <v>275</v>
      </c>
    </row>
    <row r="652" spans="18:18">
      <c r="R652" s="34" t="s">
        <v>276</v>
      </c>
    </row>
    <row r="653" spans="18:18">
      <c r="R653" s="34" t="s">
        <v>214</v>
      </c>
    </row>
    <row r="654" spans="18:18">
      <c r="R654" s="34" t="s">
        <v>215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FB17-1108-4147-8A5A-DB706AA84000}">
  <sheetPr>
    <tabColor theme="9" tint="0.59999389629810485"/>
  </sheetPr>
  <dimension ref="A1:V40"/>
  <sheetViews>
    <sheetView zoomScale="85" zoomScaleNormal="85" workbookViewId="0">
      <pane xSplit="1" ySplit="1" topLeftCell="B2" activePane="bottomRight" state="frozen"/>
      <selection pane="bottomRight" activeCell="H33" sqref="H33"/>
      <selection pane="bottomLeft" activeCell="A2" sqref="A2"/>
      <selection pane="topRight" activeCell="B1" sqref="B1"/>
    </sheetView>
  </sheetViews>
  <sheetFormatPr defaultColWidth="11.42578125" defaultRowHeight="15" customHeight="1"/>
  <cols>
    <col min="1" max="2" width="30.42578125" customWidth="1"/>
    <col min="5" max="5" width="15.28515625" customWidth="1"/>
    <col min="6" max="8" width="14.42578125" customWidth="1"/>
    <col min="9" max="9" width="1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</v>
      </c>
      <c r="H1" s="2" t="s">
        <v>278</v>
      </c>
      <c r="I1" s="2" t="s">
        <v>6</v>
      </c>
      <c r="J1" t="s">
        <v>279</v>
      </c>
      <c r="K1" t="s">
        <v>280</v>
      </c>
    </row>
    <row r="2" spans="1:22">
      <c r="A2" t="s">
        <v>7</v>
      </c>
      <c r="B2">
        <v>1</v>
      </c>
      <c r="C2">
        <v>1</v>
      </c>
      <c r="E2">
        <v>15</v>
      </c>
      <c r="F2">
        <v>9</v>
      </c>
      <c r="G2">
        <v>197</v>
      </c>
      <c r="H2">
        <v>348</v>
      </c>
      <c r="I2" s="4">
        <v>0.95782100000000003</v>
      </c>
      <c r="J2" s="7">
        <f>G2/(G2+E2)</f>
        <v>0.92924528301886788</v>
      </c>
      <c r="K2" s="7">
        <f t="shared" ref="K2:K38" si="0">G2/(G2+F2)</f>
        <v>0.9563106796116505</v>
      </c>
    </row>
    <row r="3" spans="1:22">
      <c r="A3" t="s">
        <v>281</v>
      </c>
      <c r="B3">
        <v>2</v>
      </c>
      <c r="E3">
        <v>10</v>
      </c>
      <c r="F3">
        <v>9</v>
      </c>
      <c r="G3">
        <v>202</v>
      </c>
      <c r="H3">
        <v>348</v>
      </c>
      <c r="I3" s="4">
        <v>96.660799999999995</v>
      </c>
      <c r="J3" s="7">
        <f t="shared" ref="J3:J21" si="1">G3/(G3+E3)</f>
        <v>0.95283018867924529</v>
      </c>
      <c r="K3" s="7">
        <f t="shared" si="0"/>
        <v>0.95734597156398105</v>
      </c>
    </row>
    <row r="4" spans="1:22">
      <c r="A4" t="s">
        <v>282</v>
      </c>
      <c r="B4">
        <v>3</v>
      </c>
      <c r="E4">
        <v>8</v>
      </c>
      <c r="F4">
        <v>15</v>
      </c>
      <c r="G4">
        <v>204</v>
      </c>
      <c r="H4">
        <v>342</v>
      </c>
      <c r="I4" s="4">
        <v>0.95957800000000004</v>
      </c>
      <c r="J4" s="7">
        <f t="shared" si="1"/>
        <v>0.96226415094339623</v>
      </c>
      <c r="K4" s="7">
        <f t="shared" si="0"/>
        <v>0.93150684931506844</v>
      </c>
    </row>
    <row r="5" spans="1:22">
      <c r="A5" t="s">
        <v>283</v>
      </c>
      <c r="B5">
        <v>4</v>
      </c>
      <c r="E5">
        <v>7</v>
      </c>
      <c r="F5">
        <v>17</v>
      </c>
      <c r="G5">
        <v>205</v>
      </c>
      <c r="H5">
        <v>340</v>
      </c>
      <c r="I5" s="4">
        <v>0.95782100000000003</v>
      </c>
      <c r="J5" s="7">
        <f t="shared" si="1"/>
        <v>0.96698113207547165</v>
      </c>
      <c r="K5" s="7">
        <f>G5/(G5+E5)</f>
        <v>0.96698113207547165</v>
      </c>
    </row>
    <row r="6" spans="1:22">
      <c r="A6" t="s">
        <v>8</v>
      </c>
      <c r="B6">
        <v>5</v>
      </c>
      <c r="E6">
        <v>8</v>
      </c>
      <c r="F6">
        <v>20</v>
      </c>
      <c r="G6">
        <v>204</v>
      </c>
      <c r="H6">
        <v>337</v>
      </c>
      <c r="I6" s="4">
        <v>0.95079100000000005</v>
      </c>
      <c r="J6" s="7">
        <f t="shared" si="1"/>
        <v>0.96226415094339623</v>
      </c>
      <c r="K6" s="7">
        <f t="shared" si="0"/>
        <v>0.9107142857142857</v>
      </c>
    </row>
    <row r="7" spans="1:22">
      <c r="A7" t="s">
        <v>284</v>
      </c>
      <c r="B7">
        <v>6</v>
      </c>
      <c r="E7">
        <v>6</v>
      </c>
      <c r="F7">
        <v>25</v>
      </c>
      <c r="G7">
        <v>206</v>
      </c>
      <c r="H7">
        <v>332</v>
      </c>
      <c r="I7" s="4">
        <v>0.94551799999999997</v>
      </c>
      <c r="J7" s="7">
        <f t="shared" si="1"/>
        <v>0.97169811320754718</v>
      </c>
      <c r="K7" s="7">
        <f t="shared" si="0"/>
        <v>0.89177489177489178</v>
      </c>
    </row>
    <row r="8" spans="1:22">
      <c r="A8" t="s">
        <v>285</v>
      </c>
      <c r="B8">
        <v>7</v>
      </c>
      <c r="D8" s="6"/>
      <c r="E8">
        <v>6</v>
      </c>
      <c r="F8">
        <v>30</v>
      </c>
      <c r="G8">
        <v>206</v>
      </c>
      <c r="H8">
        <v>327</v>
      </c>
      <c r="I8" s="4">
        <v>0.93673099999999998</v>
      </c>
      <c r="J8" s="12">
        <f t="shared" si="1"/>
        <v>0.97169811320754718</v>
      </c>
      <c r="K8" s="12">
        <f t="shared" si="0"/>
        <v>0.8728813559322034</v>
      </c>
      <c r="L8" s="6"/>
    </row>
    <row r="9" spans="1:22">
      <c r="A9" t="s">
        <v>9</v>
      </c>
      <c r="B9">
        <v>8</v>
      </c>
      <c r="E9">
        <v>5</v>
      </c>
      <c r="F9">
        <v>33</v>
      </c>
      <c r="G9">
        <v>207</v>
      </c>
      <c r="H9">
        <v>324</v>
      </c>
      <c r="I9" s="4">
        <v>0.93321600000000005</v>
      </c>
      <c r="J9" s="7">
        <f t="shared" si="1"/>
        <v>0.97641509433962259</v>
      </c>
      <c r="K9" s="7">
        <f t="shared" si="0"/>
        <v>0.86250000000000004</v>
      </c>
    </row>
    <row r="10" spans="1:22">
      <c r="A10" t="s">
        <v>10</v>
      </c>
      <c r="B10">
        <v>9</v>
      </c>
      <c r="E10" s="3">
        <v>4</v>
      </c>
      <c r="F10" s="3">
        <v>35</v>
      </c>
      <c r="G10" s="3">
        <v>208</v>
      </c>
      <c r="H10" s="3">
        <v>322</v>
      </c>
      <c r="I10" s="5">
        <v>0.93145900000000004</v>
      </c>
      <c r="J10" s="10">
        <f t="shared" si="1"/>
        <v>0.98113207547169812</v>
      </c>
      <c r="K10" s="10">
        <f t="shared" si="0"/>
        <v>0.8559670781893004</v>
      </c>
    </row>
    <row r="11" spans="1:22" s="3" customFormat="1">
      <c r="A11" s="6" t="s">
        <v>11</v>
      </c>
      <c r="B11" s="6">
        <v>10</v>
      </c>
      <c r="C11" s="6"/>
      <c r="D11" s="6"/>
      <c r="E11">
        <v>4</v>
      </c>
      <c r="F11">
        <v>39</v>
      </c>
      <c r="G11">
        <v>208</v>
      </c>
      <c r="H11">
        <v>318</v>
      </c>
      <c r="I11" s="4">
        <v>0.92442899999999995</v>
      </c>
      <c r="J11" s="12">
        <f t="shared" si="1"/>
        <v>0.98113207547169812</v>
      </c>
      <c r="K11" s="12">
        <f t="shared" si="0"/>
        <v>0.84210526315789469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t="s">
        <v>12</v>
      </c>
      <c r="B12">
        <v>11</v>
      </c>
      <c r="E12">
        <v>5</v>
      </c>
      <c r="F12">
        <v>38</v>
      </c>
      <c r="G12">
        <v>207</v>
      </c>
      <c r="H12">
        <v>319</v>
      </c>
      <c r="I12" s="4">
        <v>0.92442899999999995</v>
      </c>
      <c r="J12" s="7">
        <f t="shared" si="1"/>
        <v>0.97641509433962259</v>
      </c>
      <c r="K12" s="7">
        <f t="shared" si="0"/>
        <v>0.8448979591836735</v>
      </c>
    </row>
    <row r="13" spans="1:22">
      <c r="A13" t="s">
        <v>13</v>
      </c>
      <c r="B13">
        <v>12</v>
      </c>
      <c r="E13">
        <v>5</v>
      </c>
      <c r="F13">
        <v>41</v>
      </c>
      <c r="G13">
        <v>207</v>
      </c>
      <c r="H13">
        <v>316</v>
      </c>
      <c r="I13" s="4">
        <v>0.91915599999999997</v>
      </c>
      <c r="J13" s="7">
        <f t="shared" si="1"/>
        <v>0.97641509433962259</v>
      </c>
      <c r="K13" s="7">
        <f t="shared" si="0"/>
        <v>0.83467741935483875</v>
      </c>
    </row>
    <row r="14" spans="1:22">
      <c r="A14" s="6" t="s">
        <v>286</v>
      </c>
      <c r="B14">
        <v>13</v>
      </c>
      <c r="E14">
        <v>5</v>
      </c>
      <c r="F14">
        <v>45</v>
      </c>
      <c r="G14">
        <v>207</v>
      </c>
      <c r="H14">
        <v>312</v>
      </c>
      <c r="I14" s="4">
        <v>0.91212700000000002</v>
      </c>
      <c r="J14" s="7">
        <f t="shared" si="1"/>
        <v>0.97641509433962259</v>
      </c>
      <c r="K14" s="7">
        <f t="shared" si="0"/>
        <v>0.8214285714285714</v>
      </c>
    </row>
    <row r="15" spans="1:22">
      <c r="A15" t="s">
        <v>287</v>
      </c>
      <c r="B15">
        <v>14</v>
      </c>
      <c r="E15">
        <v>5</v>
      </c>
      <c r="F15">
        <v>42</v>
      </c>
      <c r="G15">
        <v>207</v>
      </c>
      <c r="H15">
        <v>315</v>
      </c>
      <c r="I15" s="4">
        <v>0.91739899999999996</v>
      </c>
      <c r="J15" s="7">
        <f t="shared" si="1"/>
        <v>0.97641509433962259</v>
      </c>
      <c r="K15" s="7">
        <f t="shared" si="0"/>
        <v>0.83132530120481929</v>
      </c>
    </row>
    <row r="16" spans="1:22">
      <c r="A16" t="s">
        <v>14</v>
      </c>
      <c r="B16">
        <v>15</v>
      </c>
      <c r="E16">
        <v>4</v>
      </c>
      <c r="F16">
        <v>45</v>
      </c>
      <c r="G16">
        <v>208</v>
      </c>
      <c r="H16">
        <v>312</v>
      </c>
      <c r="I16" s="4">
        <v>0.91388400000000003</v>
      </c>
      <c r="J16" s="7">
        <f t="shared" si="1"/>
        <v>0.98113207547169812</v>
      </c>
      <c r="K16" s="7">
        <f t="shared" si="0"/>
        <v>0.82213438735177868</v>
      </c>
    </row>
    <row r="17" spans="1:11">
      <c r="A17" t="s">
        <v>288</v>
      </c>
      <c r="B17">
        <v>16</v>
      </c>
      <c r="E17">
        <v>4</v>
      </c>
      <c r="F17">
        <v>46</v>
      </c>
      <c r="G17">
        <v>208</v>
      </c>
      <c r="H17">
        <v>311</v>
      </c>
      <c r="I17" s="4">
        <v>0.91212700000000002</v>
      </c>
      <c r="J17" s="7">
        <f t="shared" si="1"/>
        <v>0.98113207547169812</v>
      </c>
      <c r="K17" s="7">
        <f t="shared" si="0"/>
        <v>0.81889763779527558</v>
      </c>
    </row>
    <row r="18" spans="1:11">
      <c r="A18" t="s">
        <v>289</v>
      </c>
      <c r="B18">
        <v>17</v>
      </c>
      <c r="E18">
        <v>4</v>
      </c>
      <c r="F18">
        <v>48</v>
      </c>
      <c r="G18">
        <v>208</v>
      </c>
      <c r="H18">
        <v>309</v>
      </c>
      <c r="I18" s="4">
        <v>0.90861199999999998</v>
      </c>
      <c r="J18" s="7">
        <f t="shared" si="1"/>
        <v>0.98113207547169812</v>
      </c>
      <c r="K18" s="7">
        <f t="shared" si="0"/>
        <v>0.8125</v>
      </c>
    </row>
    <row r="19" spans="1:11">
      <c r="A19" t="s">
        <v>290</v>
      </c>
      <c r="B19">
        <v>18</v>
      </c>
      <c r="E19">
        <v>4</v>
      </c>
      <c r="F19">
        <v>47</v>
      </c>
      <c r="G19">
        <v>208</v>
      </c>
      <c r="H19">
        <v>310</v>
      </c>
      <c r="I19" s="4">
        <v>0.91036899999999998</v>
      </c>
      <c r="J19" s="7">
        <f t="shared" si="1"/>
        <v>0.98113207547169812</v>
      </c>
      <c r="K19" s="7">
        <f t="shared" si="0"/>
        <v>0.81568627450980391</v>
      </c>
    </row>
    <row r="20" spans="1:11">
      <c r="A20" t="s">
        <v>291</v>
      </c>
      <c r="B20" s="3">
        <v>19</v>
      </c>
      <c r="C20" s="3"/>
      <c r="D20" s="3"/>
      <c r="E20" s="3">
        <v>3</v>
      </c>
      <c r="F20" s="3">
        <v>46</v>
      </c>
      <c r="G20" s="3">
        <v>209</v>
      </c>
      <c r="H20" s="3">
        <v>311</v>
      </c>
      <c r="I20" s="5">
        <v>0.91388400000000003</v>
      </c>
      <c r="J20" s="10">
        <f t="shared" si="1"/>
        <v>0.98584905660377353</v>
      </c>
      <c r="K20" s="10">
        <f t="shared" si="0"/>
        <v>0.81960784313725488</v>
      </c>
    </row>
    <row r="21" spans="1:11" ht="30">
      <c r="A21" s="8" t="s">
        <v>15</v>
      </c>
      <c r="B21">
        <v>20</v>
      </c>
      <c r="E21">
        <v>5</v>
      </c>
      <c r="F21">
        <v>49</v>
      </c>
      <c r="G21">
        <v>207</v>
      </c>
      <c r="H21">
        <v>308</v>
      </c>
      <c r="I21" s="4">
        <v>0.90509700000000004</v>
      </c>
      <c r="J21" s="7">
        <f t="shared" si="1"/>
        <v>0.97641509433962259</v>
      </c>
      <c r="K21" s="7">
        <f t="shared" si="0"/>
        <v>0.80859375</v>
      </c>
    </row>
    <row r="22" spans="1:11" ht="30">
      <c r="A22" s="9" t="s">
        <v>292</v>
      </c>
      <c r="B22">
        <v>21</v>
      </c>
      <c r="E22">
        <v>5</v>
      </c>
      <c r="F22">
        <v>54</v>
      </c>
      <c r="G22">
        <v>207</v>
      </c>
      <c r="H22">
        <v>303</v>
      </c>
      <c r="I22" s="4">
        <v>0.89630900000000002</v>
      </c>
      <c r="J22" s="7">
        <f t="shared" ref="J22:J38" si="2">G22/(G22+E22)</f>
        <v>0.97641509433962259</v>
      </c>
      <c r="K22" s="7">
        <f t="shared" si="0"/>
        <v>0.7931034482758621</v>
      </c>
    </row>
    <row r="23" spans="1:11" ht="30">
      <c r="A23" s="9" t="s">
        <v>293</v>
      </c>
      <c r="B23">
        <v>22</v>
      </c>
      <c r="E23">
        <v>4</v>
      </c>
      <c r="F23">
        <v>58</v>
      </c>
      <c r="G23">
        <v>208</v>
      </c>
      <c r="H23">
        <v>299</v>
      </c>
      <c r="I23" s="4">
        <v>0.89103699999999997</v>
      </c>
      <c r="J23" s="7">
        <f t="shared" si="2"/>
        <v>0.98113207547169812</v>
      </c>
      <c r="K23" s="7">
        <f t="shared" si="0"/>
        <v>0.78195488721804507</v>
      </c>
    </row>
    <row r="24" spans="1:11" ht="30">
      <c r="A24" s="9" t="s">
        <v>294</v>
      </c>
      <c r="B24">
        <v>23</v>
      </c>
      <c r="E24">
        <v>4</v>
      </c>
      <c r="F24">
        <v>54</v>
      </c>
      <c r="G24">
        <v>208</v>
      </c>
      <c r="H24">
        <v>303</v>
      </c>
      <c r="I24" s="4">
        <v>0.89806699999999995</v>
      </c>
      <c r="J24" s="7">
        <f t="shared" si="2"/>
        <v>0.98113207547169812</v>
      </c>
      <c r="K24" s="7">
        <f t="shared" si="0"/>
        <v>0.79389312977099236</v>
      </c>
    </row>
    <row r="25" spans="1:11">
      <c r="A25" s="9"/>
      <c r="B25">
        <v>24</v>
      </c>
      <c r="E25">
        <v>3</v>
      </c>
      <c r="F25">
        <v>56</v>
      </c>
      <c r="G25">
        <v>209</v>
      </c>
      <c r="H25">
        <v>301</v>
      </c>
      <c r="I25" s="4">
        <v>0.89630900000000002</v>
      </c>
      <c r="J25" s="7">
        <f t="shared" si="2"/>
        <v>0.98584905660377353</v>
      </c>
      <c r="K25" s="7">
        <f t="shared" si="0"/>
        <v>0.78867924528301891</v>
      </c>
    </row>
    <row r="26" spans="1:11">
      <c r="B26">
        <v>25</v>
      </c>
      <c r="E26">
        <v>4</v>
      </c>
      <c r="F26">
        <v>57</v>
      </c>
      <c r="G26">
        <v>208</v>
      </c>
      <c r="H26">
        <v>300</v>
      </c>
      <c r="I26" s="4">
        <v>0.89279399999999998</v>
      </c>
      <c r="J26" s="7">
        <f t="shared" ref="J26:J36" si="3">G26/(G26+E26)</f>
        <v>0.98113207547169812</v>
      </c>
      <c r="K26" s="7">
        <f t="shared" si="0"/>
        <v>0.78490566037735854</v>
      </c>
    </row>
    <row r="27" spans="1:11">
      <c r="B27">
        <v>26</v>
      </c>
      <c r="E27">
        <v>3</v>
      </c>
      <c r="F27">
        <v>58</v>
      </c>
      <c r="G27">
        <v>209</v>
      </c>
      <c r="H27">
        <v>299</v>
      </c>
      <c r="I27" s="4">
        <v>0.89279399999999998</v>
      </c>
      <c r="J27" s="7">
        <f t="shared" si="3"/>
        <v>0.98584905660377353</v>
      </c>
      <c r="K27" s="7">
        <f t="shared" ref="K27:K36" si="4">G27/(G27+F27)</f>
        <v>0.78277153558052437</v>
      </c>
    </row>
    <row r="28" spans="1:11">
      <c r="B28">
        <v>27</v>
      </c>
      <c r="E28">
        <v>4</v>
      </c>
      <c r="F28">
        <v>64</v>
      </c>
      <c r="G28">
        <v>208</v>
      </c>
      <c r="H28">
        <v>293</v>
      </c>
      <c r="I28" s="4">
        <v>0.88049200000000005</v>
      </c>
      <c r="J28" s="7">
        <f t="shared" si="3"/>
        <v>0.98113207547169812</v>
      </c>
      <c r="K28" s="7">
        <f t="shared" si="4"/>
        <v>0.76470588235294112</v>
      </c>
    </row>
    <row r="29" spans="1:11">
      <c r="B29">
        <v>28</v>
      </c>
      <c r="E29">
        <v>4</v>
      </c>
      <c r="F29">
        <v>62</v>
      </c>
      <c r="G29">
        <v>208</v>
      </c>
      <c r="H29">
        <v>295</v>
      </c>
      <c r="I29" s="4">
        <v>0.88400699999999999</v>
      </c>
      <c r="J29" s="7">
        <f t="shared" si="3"/>
        <v>0.98113207547169812</v>
      </c>
      <c r="K29" s="7">
        <f t="shared" si="4"/>
        <v>0.77037037037037037</v>
      </c>
    </row>
    <row r="30" spans="1:11">
      <c r="B30">
        <v>29</v>
      </c>
      <c r="E30">
        <v>4</v>
      </c>
      <c r="F30">
        <v>61</v>
      </c>
      <c r="G30">
        <v>208</v>
      </c>
      <c r="H30">
        <v>296</v>
      </c>
      <c r="I30" s="4">
        <v>0.885764</v>
      </c>
      <c r="J30" s="7">
        <f t="shared" si="3"/>
        <v>0.98113207547169812</v>
      </c>
      <c r="K30" s="7">
        <f t="shared" si="4"/>
        <v>0.77323420074349447</v>
      </c>
    </row>
    <row r="31" spans="1:11">
      <c r="B31">
        <v>30</v>
      </c>
      <c r="E31">
        <v>4</v>
      </c>
      <c r="F31">
        <v>66</v>
      </c>
      <c r="G31">
        <v>208</v>
      </c>
      <c r="H31">
        <v>291</v>
      </c>
      <c r="I31" s="4">
        <v>0.87697700000000001</v>
      </c>
      <c r="J31" s="7">
        <f t="shared" si="3"/>
        <v>0.98113207547169812</v>
      </c>
      <c r="K31" s="7">
        <f t="shared" si="4"/>
        <v>0.75912408759124084</v>
      </c>
    </row>
    <row r="32" spans="1:11">
      <c r="B32">
        <v>31</v>
      </c>
      <c r="E32">
        <v>2</v>
      </c>
      <c r="F32">
        <v>65</v>
      </c>
      <c r="G32">
        <v>210</v>
      </c>
      <c r="H32">
        <v>292</v>
      </c>
      <c r="I32" s="4">
        <v>0.88224999999999998</v>
      </c>
      <c r="J32" s="7">
        <f t="shared" si="3"/>
        <v>0.99056603773584906</v>
      </c>
      <c r="K32" s="7">
        <f t="shared" si="4"/>
        <v>0.76363636363636367</v>
      </c>
    </row>
    <row r="33" spans="2:11">
      <c r="B33">
        <v>32</v>
      </c>
      <c r="E33">
        <v>2</v>
      </c>
      <c r="F33">
        <v>71</v>
      </c>
      <c r="G33">
        <v>210</v>
      </c>
      <c r="H33">
        <v>286</v>
      </c>
      <c r="I33" s="4">
        <v>0.87170499999999995</v>
      </c>
      <c r="J33" s="7">
        <f t="shared" si="3"/>
        <v>0.99056603773584906</v>
      </c>
      <c r="K33" s="7">
        <f t="shared" si="4"/>
        <v>0.74733096085409256</v>
      </c>
    </row>
    <row r="34" spans="2:11">
      <c r="B34">
        <v>33</v>
      </c>
      <c r="E34">
        <v>3</v>
      </c>
      <c r="F34">
        <v>68</v>
      </c>
      <c r="G34">
        <v>209</v>
      </c>
      <c r="H34">
        <v>289</v>
      </c>
      <c r="I34" s="4">
        <v>0.87522</v>
      </c>
      <c r="J34" s="7">
        <f t="shared" si="3"/>
        <v>0.98584905660377353</v>
      </c>
      <c r="K34" s="7">
        <f t="shared" si="4"/>
        <v>0.75451263537906132</v>
      </c>
    </row>
    <row r="35" spans="2:11">
      <c r="B35">
        <v>34</v>
      </c>
      <c r="E35">
        <v>2</v>
      </c>
      <c r="F35">
        <v>72</v>
      </c>
      <c r="G35">
        <v>210</v>
      </c>
      <c r="H35">
        <v>285</v>
      </c>
      <c r="I35" s="4">
        <v>0.86994700000000003</v>
      </c>
      <c r="J35" s="7">
        <f t="shared" si="3"/>
        <v>0.99056603773584906</v>
      </c>
      <c r="K35" s="7">
        <f t="shared" si="4"/>
        <v>0.74468085106382975</v>
      </c>
    </row>
    <row r="36" spans="2:11">
      <c r="B36">
        <v>35</v>
      </c>
      <c r="E36">
        <v>2</v>
      </c>
      <c r="F36">
        <v>75</v>
      </c>
      <c r="G36">
        <v>210</v>
      </c>
      <c r="H36">
        <v>282</v>
      </c>
      <c r="I36" s="4">
        <v>0.86467499999999997</v>
      </c>
      <c r="J36" s="7">
        <f t="shared" si="3"/>
        <v>0.99056603773584906</v>
      </c>
      <c r="K36" s="7">
        <f t="shared" si="4"/>
        <v>0.73684210526315785</v>
      </c>
    </row>
    <row r="37" spans="2:11">
      <c r="B37">
        <v>92</v>
      </c>
      <c r="E37">
        <v>1</v>
      </c>
      <c r="F37">
        <v>137</v>
      </c>
      <c r="G37">
        <v>211</v>
      </c>
      <c r="H37">
        <v>220</v>
      </c>
      <c r="I37" s="4">
        <v>0.75746899999999995</v>
      </c>
      <c r="J37" s="7">
        <f t="shared" si="2"/>
        <v>0.99528301886792447</v>
      </c>
      <c r="K37" s="7">
        <f t="shared" si="0"/>
        <v>0.60632183908045978</v>
      </c>
    </row>
    <row r="38" spans="2:11">
      <c r="B38">
        <v>242</v>
      </c>
      <c r="E38">
        <v>0</v>
      </c>
      <c r="F38">
        <v>265</v>
      </c>
      <c r="G38">
        <v>212</v>
      </c>
      <c r="H38">
        <v>92</v>
      </c>
      <c r="I38" s="4">
        <v>0.53427100000000005</v>
      </c>
      <c r="J38" s="7">
        <f t="shared" si="2"/>
        <v>1</v>
      </c>
      <c r="K38" s="7">
        <f t="shared" si="0"/>
        <v>0.44444444444444442</v>
      </c>
    </row>
    <row r="39" spans="2:11">
      <c r="I39" s="4" t="s">
        <v>295</v>
      </c>
      <c r="J39" s="7"/>
      <c r="K39" s="7"/>
    </row>
    <row r="40" spans="2:11">
      <c r="I40" s="4"/>
      <c r="J40" s="7"/>
      <c r="K40" s="7"/>
    </row>
  </sheetData>
  <pageMargins left="0.7" right="0.7" top="0.78740157499999996" bottom="0.78740157499999996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5E02-631E-44F7-83E6-DB14E925A829}">
  <sheetPr>
    <tabColor theme="9" tint="0.59999389629810485"/>
  </sheetPr>
  <dimension ref="A1:V31"/>
  <sheetViews>
    <sheetView zoomScale="115" zoomScaleNormal="115" workbookViewId="0">
      <pane xSplit="1" ySplit="1" topLeftCell="G5" activePane="bottomRight" state="frozen"/>
      <selection pane="bottomRight" activeCell="G57" sqref="G57"/>
      <selection pane="bottomLeft" activeCell="A2" sqref="A2"/>
      <selection pane="topRight" activeCell="B1" sqref="B1"/>
    </sheetView>
  </sheetViews>
  <sheetFormatPr defaultColWidth="11.42578125" defaultRowHeight="15" customHeight="1"/>
  <cols>
    <col min="1" max="2" width="30.42578125" customWidth="1"/>
    <col min="5" max="5" width="15.28515625" customWidth="1"/>
    <col min="6" max="8" width="14.42578125" customWidth="1"/>
    <col min="9" max="9" width="19" customWidth="1"/>
  </cols>
  <sheetData>
    <row r="1" spans="1:2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</v>
      </c>
      <c r="H1" s="2" t="s">
        <v>278</v>
      </c>
      <c r="I1" s="2" t="s">
        <v>6</v>
      </c>
      <c r="J1" t="s">
        <v>279</v>
      </c>
      <c r="K1" t="s">
        <v>280</v>
      </c>
    </row>
    <row r="2" spans="1:22">
      <c r="A2" t="s">
        <v>7</v>
      </c>
      <c r="B2">
        <v>1</v>
      </c>
      <c r="C2">
        <v>1</v>
      </c>
      <c r="E2">
        <v>22</v>
      </c>
      <c r="F2">
        <v>4</v>
      </c>
      <c r="G2">
        <v>169</v>
      </c>
      <c r="H2">
        <v>317</v>
      </c>
      <c r="I2" s="7">
        <v>0.94921900000000003</v>
      </c>
      <c r="J2" s="7">
        <f>G2/(G2+E2)</f>
        <v>0.88481675392670156</v>
      </c>
      <c r="K2" s="7">
        <f t="shared" ref="K2:K29" si="0">G2/(G2+F2)</f>
        <v>0.97687861271676302</v>
      </c>
    </row>
    <row r="3" spans="1:22">
      <c r="A3" t="s">
        <v>281</v>
      </c>
      <c r="B3">
        <v>2</v>
      </c>
      <c r="E3">
        <v>12</v>
      </c>
      <c r="F3">
        <v>12</v>
      </c>
      <c r="G3">
        <v>179</v>
      </c>
      <c r="H3">
        <v>309</v>
      </c>
      <c r="I3" s="7">
        <v>0.953125</v>
      </c>
      <c r="J3" s="7">
        <f t="shared" ref="J3:J29" si="1">G3/(G3+E3)</f>
        <v>0.93717277486910999</v>
      </c>
      <c r="K3" s="7">
        <f t="shared" si="0"/>
        <v>0.93717277486910999</v>
      </c>
    </row>
    <row r="4" spans="1:22">
      <c r="A4" t="s">
        <v>282</v>
      </c>
      <c r="B4">
        <v>3</v>
      </c>
      <c r="E4">
        <v>10</v>
      </c>
      <c r="F4">
        <v>11</v>
      </c>
      <c r="G4">
        <v>181</v>
      </c>
      <c r="H4">
        <v>310</v>
      </c>
      <c r="I4" s="7">
        <v>0.95898399999999995</v>
      </c>
      <c r="J4" s="7">
        <f t="shared" si="1"/>
        <v>0.94764397905759157</v>
      </c>
      <c r="K4" s="7">
        <f t="shared" si="0"/>
        <v>0.94270833333333337</v>
      </c>
    </row>
    <row r="5" spans="1:22">
      <c r="A5" t="s">
        <v>283</v>
      </c>
      <c r="B5">
        <v>4</v>
      </c>
      <c r="E5">
        <v>9</v>
      </c>
      <c r="F5">
        <v>18</v>
      </c>
      <c r="G5">
        <v>182</v>
      </c>
      <c r="H5">
        <v>303</v>
      </c>
      <c r="I5" s="7">
        <v>0.94746600000000003</v>
      </c>
      <c r="J5" s="7">
        <f t="shared" si="1"/>
        <v>0.95287958115183247</v>
      </c>
      <c r="K5" s="7">
        <f>G5/(G5+E5)</f>
        <v>0.95287958115183247</v>
      </c>
    </row>
    <row r="6" spans="1:22">
      <c r="A6" t="s">
        <v>8</v>
      </c>
      <c r="B6">
        <v>5</v>
      </c>
      <c r="E6">
        <v>7</v>
      </c>
      <c r="F6">
        <v>24</v>
      </c>
      <c r="G6">
        <v>184</v>
      </c>
      <c r="H6">
        <v>297</v>
      </c>
      <c r="I6" s="7">
        <v>0.93945299999999998</v>
      </c>
      <c r="J6" s="7">
        <f t="shared" si="1"/>
        <v>0.96335078534031415</v>
      </c>
      <c r="K6" s="7">
        <f t="shared" si="0"/>
        <v>0.88461538461538458</v>
      </c>
    </row>
    <row r="7" spans="1:22">
      <c r="A7" t="s">
        <v>284</v>
      </c>
      <c r="B7">
        <v>6</v>
      </c>
      <c r="E7">
        <v>4</v>
      </c>
      <c r="F7">
        <v>25</v>
      </c>
      <c r="G7">
        <v>187</v>
      </c>
      <c r="H7">
        <v>296</v>
      </c>
      <c r="I7" s="7">
        <v>0.94335899999999995</v>
      </c>
      <c r="J7" s="7">
        <f t="shared" si="1"/>
        <v>0.97905759162303663</v>
      </c>
      <c r="K7" s="7">
        <f t="shared" si="0"/>
        <v>0.88207547169811318</v>
      </c>
    </row>
    <row r="8" spans="1:22">
      <c r="A8" t="s">
        <v>285</v>
      </c>
      <c r="B8">
        <v>7</v>
      </c>
      <c r="D8" s="3"/>
      <c r="E8" s="3">
        <v>3</v>
      </c>
      <c r="F8" s="3">
        <v>31</v>
      </c>
      <c r="G8" s="3">
        <v>188</v>
      </c>
      <c r="H8" s="3">
        <v>290</v>
      </c>
      <c r="I8" s="10">
        <v>0.93359400000000003</v>
      </c>
      <c r="J8" s="10">
        <f t="shared" si="1"/>
        <v>0.98429319371727753</v>
      </c>
      <c r="K8" s="10">
        <f t="shared" si="0"/>
        <v>0.85844748858447484</v>
      </c>
      <c r="L8" s="3"/>
    </row>
    <row r="9" spans="1:22">
      <c r="A9" t="s">
        <v>9</v>
      </c>
      <c r="B9">
        <v>8</v>
      </c>
      <c r="E9">
        <v>3</v>
      </c>
      <c r="F9">
        <v>38</v>
      </c>
      <c r="G9">
        <v>188</v>
      </c>
      <c r="H9">
        <v>283</v>
      </c>
      <c r="I9" s="7">
        <v>0.91992200000000002</v>
      </c>
      <c r="J9" s="7">
        <f t="shared" si="1"/>
        <v>0.98429319371727753</v>
      </c>
      <c r="K9" s="7">
        <f t="shared" si="0"/>
        <v>0.83185840707964598</v>
      </c>
    </row>
    <row r="10" spans="1:22">
      <c r="A10" t="s">
        <v>10</v>
      </c>
      <c r="B10">
        <v>9</v>
      </c>
      <c r="E10">
        <v>3</v>
      </c>
      <c r="F10">
        <v>38</v>
      </c>
      <c r="G10">
        <v>188</v>
      </c>
      <c r="H10">
        <v>283</v>
      </c>
      <c r="I10" s="7">
        <v>0.91992200000000002</v>
      </c>
      <c r="J10" s="7">
        <f t="shared" si="1"/>
        <v>0.98429319371727753</v>
      </c>
      <c r="K10" s="7">
        <f t="shared" si="0"/>
        <v>0.83185840707964598</v>
      </c>
    </row>
    <row r="11" spans="1:22" s="3" customFormat="1">
      <c r="A11" s="6" t="s">
        <v>11</v>
      </c>
      <c r="B11" s="6">
        <v>10</v>
      </c>
      <c r="C11" s="6"/>
      <c r="D11" s="6"/>
      <c r="E11" s="6">
        <v>3</v>
      </c>
      <c r="F11" s="6">
        <v>52</v>
      </c>
      <c r="G11" s="6">
        <v>188</v>
      </c>
      <c r="H11" s="6">
        <v>269</v>
      </c>
      <c r="I11" s="12">
        <v>0.89257799999999998</v>
      </c>
      <c r="J11" s="12">
        <f t="shared" si="1"/>
        <v>0.98429319371727753</v>
      </c>
      <c r="K11" s="12">
        <f t="shared" si="0"/>
        <v>0.78333333333333333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t="s">
        <v>12</v>
      </c>
      <c r="B12">
        <v>11</v>
      </c>
      <c r="E12">
        <v>3</v>
      </c>
      <c r="F12">
        <v>52</v>
      </c>
      <c r="G12">
        <v>188</v>
      </c>
      <c r="H12">
        <v>269</v>
      </c>
      <c r="I12" s="7">
        <v>0.89257799999999998</v>
      </c>
      <c r="J12" s="7">
        <f t="shared" si="1"/>
        <v>0.98429319371727753</v>
      </c>
      <c r="K12" s="7">
        <f t="shared" si="0"/>
        <v>0.78333333333333333</v>
      </c>
    </row>
    <row r="13" spans="1:22">
      <c r="A13" t="s">
        <v>13</v>
      </c>
      <c r="B13">
        <v>12</v>
      </c>
      <c r="E13">
        <v>3</v>
      </c>
      <c r="F13">
        <v>55</v>
      </c>
      <c r="G13">
        <v>188</v>
      </c>
      <c r="H13">
        <v>266</v>
      </c>
      <c r="I13" s="7">
        <v>0.88671900000000003</v>
      </c>
      <c r="J13" s="7">
        <f t="shared" si="1"/>
        <v>0.98429319371727753</v>
      </c>
      <c r="K13" s="7">
        <f t="shared" si="0"/>
        <v>0.77366255144032925</v>
      </c>
    </row>
    <row r="14" spans="1:22">
      <c r="A14" s="6" t="s">
        <v>286</v>
      </c>
      <c r="B14">
        <v>13</v>
      </c>
      <c r="E14">
        <v>3</v>
      </c>
      <c r="F14">
        <v>57</v>
      </c>
      <c r="G14">
        <v>188</v>
      </c>
      <c r="H14">
        <v>264</v>
      </c>
      <c r="I14" s="7">
        <v>0.88281299999999996</v>
      </c>
      <c r="J14" s="7">
        <f t="shared" si="1"/>
        <v>0.98429319371727753</v>
      </c>
      <c r="K14" s="7">
        <f t="shared" si="0"/>
        <v>0.76734693877551019</v>
      </c>
    </row>
    <row r="15" spans="1:22">
      <c r="A15" t="s">
        <v>287</v>
      </c>
      <c r="B15">
        <v>14</v>
      </c>
      <c r="E15">
        <v>3</v>
      </c>
      <c r="F15">
        <v>62</v>
      </c>
      <c r="G15">
        <v>188</v>
      </c>
      <c r="H15">
        <v>259</v>
      </c>
      <c r="I15" s="7">
        <v>0.87304700000000002</v>
      </c>
      <c r="J15" s="7">
        <f t="shared" si="1"/>
        <v>0.98429319371727753</v>
      </c>
      <c r="K15" s="7">
        <f t="shared" si="0"/>
        <v>0.752</v>
      </c>
    </row>
    <row r="16" spans="1:22">
      <c r="A16" t="s">
        <v>14</v>
      </c>
      <c r="B16">
        <v>15</v>
      </c>
      <c r="E16">
        <v>3</v>
      </c>
      <c r="F16">
        <v>63</v>
      </c>
      <c r="G16">
        <v>188</v>
      </c>
      <c r="H16">
        <v>258</v>
      </c>
      <c r="I16" s="7">
        <v>0.87109400000000003</v>
      </c>
      <c r="J16" s="7">
        <f t="shared" si="1"/>
        <v>0.98429319371727753</v>
      </c>
      <c r="K16" s="7">
        <f t="shared" si="0"/>
        <v>0.74900398406374502</v>
      </c>
    </row>
    <row r="17" spans="1:11">
      <c r="A17" t="s">
        <v>288</v>
      </c>
      <c r="B17">
        <v>16</v>
      </c>
      <c r="E17">
        <v>3</v>
      </c>
      <c r="F17">
        <v>66</v>
      </c>
      <c r="G17">
        <v>188</v>
      </c>
      <c r="H17">
        <v>255</v>
      </c>
      <c r="I17" s="7">
        <v>0.86523399999999995</v>
      </c>
      <c r="J17" s="7">
        <f t="shared" si="1"/>
        <v>0.98429319371727753</v>
      </c>
      <c r="K17" s="7">
        <f t="shared" si="0"/>
        <v>0.74015748031496065</v>
      </c>
    </row>
    <row r="18" spans="1:11">
      <c r="A18" t="s">
        <v>289</v>
      </c>
      <c r="B18">
        <v>17</v>
      </c>
      <c r="E18">
        <v>3</v>
      </c>
      <c r="F18">
        <v>68</v>
      </c>
      <c r="G18">
        <v>188</v>
      </c>
      <c r="H18">
        <v>253</v>
      </c>
      <c r="I18" s="7">
        <v>0.86132799999999998</v>
      </c>
      <c r="J18" s="7">
        <f t="shared" si="1"/>
        <v>0.98429319371727753</v>
      </c>
      <c r="K18" s="7">
        <f t="shared" si="0"/>
        <v>0.734375</v>
      </c>
    </row>
    <row r="19" spans="1:11">
      <c r="A19" t="s">
        <v>290</v>
      </c>
      <c r="B19">
        <v>18</v>
      </c>
      <c r="E19">
        <v>3</v>
      </c>
      <c r="F19">
        <v>66</v>
      </c>
      <c r="G19">
        <v>188</v>
      </c>
      <c r="H19">
        <v>255</v>
      </c>
      <c r="I19" s="7">
        <v>0.86523399999999995</v>
      </c>
      <c r="J19" s="7">
        <f t="shared" si="1"/>
        <v>0.98429319371727753</v>
      </c>
      <c r="K19" s="7">
        <f t="shared" si="0"/>
        <v>0.74015748031496065</v>
      </c>
    </row>
    <row r="20" spans="1:11">
      <c r="A20" t="s">
        <v>291</v>
      </c>
      <c r="B20">
        <v>19</v>
      </c>
      <c r="E20">
        <v>3</v>
      </c>
      <c r="F20">
        <v>78</v>
      </c>
      <c r="G20">
        <v>188</v>
      </c>
      <c r="H20">
        <v>243</v>
      </c>
      <c r="I20" s="7">
        <v>0.84179700000000002</v>
      </c>
      <c r="J20" s="7">
        <f t="shared" si="1"/>
        <v>0.98429319371727753</v>
      </c>
      <c r="K20" s="7">
        <f t="shared" si="0"/>
        <v>0.70676691729323304</v>
      </c>
    </row>
    <row r="21" spans="1:11" ht="30">
      <c r="A21" s="8" t="s">
        <v>15</v>
      </c>
      <c r="B21">
        <v>20</v>
      </c>
      <c r="E21">
        <v>3</v>
      </c>
      <c r="F21">
        <v>77</v>
      </c>
      <c r="G21">
        <v>188</v>
      </c>
      <c r="H21">
        <v>244</v>
      </c>
      <c r="I21" s="7">
        <v>0.84375</v>
      </c>
      <c r="J21" s="7">
        <f t="shared" si="1"/>
        <v>0.98429319371727753</v>
      </c>
      <c r="K21" s="7">
        <f t="shared" si="0"/>
        <v>0.7094339622641509</v>
      </c>
    </row>
    <row r="22" spans="1:11" ht="30">
      <c r="A22" s="9" t="s">
        <v>292</v>
      </c>
      <c r="B22">
        <v>21</v>
      </c>
      <c r="E22">
        <v>2</v>
      </c>
      <c r="F22">
        <v>83</v>
      </c>
      <c r="G22">
        <v>189</v>
      </c>
      <c r="H22">
        <v>238</v>
      </c>
      <c r="I22" s="7">
        <v>0.83398399999999995</v>
      </c>
      <c r="J22" s="7">
        <f t="shared" si="1"/>
        <v>0.98952879581151831</v>
      </c>
      <c r="K22" s="7">
        <f t="shared" si="0"/>
        <v>0.69485294117647056</v>
      </c>
    </row>
    <row r="23" spans="1:11" ht="30">
      <c r="A23" s="9" t="s">
        <v>293</v>
      </c>
      <c r="B23">
        <v>22</v>
      </c>
      <c r="E23">
        <v>2</v>
      </c>
      <c r="F23">
        <v>93</v>
      </c>
      <c r="G23">
        <v>189</v>
      </c>
      <c r="H23">
        <v>228</v>
      </c>
      <c r="I23" s="7">
        <v>0.81445299999999998</v>
      </c>
      <c r="J23" s="7">
        <f t="shared" si="1"/>
        <v>0.98952879581151831</v>
      </c>
      <c r="K23" s="7">
        <f t="shared" si="0"/>
        <v>0.67021276595744683</v>
      </c>
    </row>
    <row r="24" spans="1:11" ht="30">
      <c r="A24" s="9" t="s">
        <v>294</v>
      </c>
      <c r="B24">
        <v>23</v>
      </c>
      <c r="E24">
        <v>3</v>
      </c>
      <c r="F24">
        <v>99</v>
      </c>
      <c r="G24">
        <v>188</v>
      </c>
      <c r="H24">
        <v>222</v>
      </c>
      <c r="I24" s="7">
        <v>0.80078099999999997</v>
      </c>
      <c r="J24" s="7">
        <f t="shared" si="1"/>
        <v>0.98429319371727753</v>
      </c>
      <c r="K24" s="7">
        <f t="shared" si="0"/>
        <v>0.65505226480836232</v>
      </c>
    </row>
    <row r="25" spans="1:11" ht="30">
      <c r="A25" s="9" t="s">
        <v>296</v>
      </c>
      <c r="B25">
        <v>24</v>
      </c>
      <c r="E25">
        <v>2</v>
      </c>
      <c r="F25">
        <v>105</v>
      </c>
      <c r="G25">
        <v>189</v>
      </c>
      <c r="H25">
        <v>216</v>
      </c>
      <c r="I25" s="7">
        <v>0.79101600000000005</v>
      </c>
      <c r="J25" s="7">
        <f t="shared" si="1"/>
        <v>0.98952879581151831</v>
      </c>
      <c r="K25" s="7">
        <f t="shared" si="0"/>
        <v>0.6428571428571429</v>
      </c>
    </row>
    <row r="26" spans="1:11">
      <c r="A26" t="s">
        <v>16</v>
      </c>
      <c r="B26">
        <v>25</v>
      </c>
      <c r="E26">
        <v>1</v>
      </c>
      <c r="F26">
        <v>111</v>
      </c>
      <c r="G26">
        <v>190</v>
      </c>
      <c r="H26">
        <v>210</v>
      </c>
      <c r="I26" s="7">
        <v>0.78125</v>
      </c>
      <c r="J26" s="7">
        <f t="shared" si="1"/>
        <v>0.99476439790575921</v>
      </c>
      <c r="K26" s="7">
        <f t="shared" si="0"/>
        <v>0.6312292358803987</v>
      </c>
    </row>
    <row r="27" spans="1:11">
      <c r="A27" t="s">
        <v>297</v>
      </c>
      <c r="B27">
        <v>43</v>
      </c>
      <c r="E27">
        <v>1</v>
      </c>
      <c r="F27">
        <v>178</v>
      </c>
      <c r="G27">
        <v>190</v>
      </c>
      <c r="H27">
        <v>143</v>
      </c>
      <c r="I27" s="7">
        <v>0.65039100000000005</v>
      </c>
      <c r="J27" s="7">
        <f t="shared" si="1"/>
        <v>0.99476439790575921</v>
      </c>
      <c r="K27" s="7">
        <f t="shared" si="0"/>
        <v>0.51630434782608692</v>
      </c>
    </row>
    <row r="28" spans="1:11">
      <c r="A28" t="s">
        <v>298</v>
      </c>
      <c r="B28">
        <v>44</v>
      </c>
      <c r="E28">
        <v>0</v>
      </c>
      <c r="F28">
        <v>199</v>
      </c>
      <c r="G28">
        <v>191</v>
      </c>
      <c r="H28">
        <v>122</v>
      </c>
      <c r="I28" s="7">
        <v>0.61132799999999998</v>
      </c>
      <c r="J28" s="7">
        <f t="shared" si="1"/>
        <v>1</v>
      </c>
      <c r="K28" s="7">
        <f t="shared" si="0"/>
        <v>0.48974358974358972</v>
      </c>
    </row>
    <row r="29" spans="1:11">
      <c r="A29" t="s">
        <v>16</v>
      </c>
      <c r="B29">
        <v>100</v>
      </c>
      <c r="E29">
        <v>0</v>
      </c>
      <c r="F29">
        <v>320</v>
      </c>
      <c r="G29">
        <v>191</v>
      </c>
      <c r="H29">
        <v>1</v>
      </c>
      <c r="I29" s="7">
        <v>0.375</v>
      </c>
      <c r="J29" s="7">
        <f t="shared" si="1"/>
        <v>1</v>
      </c>
      <c r="K29" s="7">
        <f t="shared" si="0"/>
        <v>0.37377690802348335</v>
      </c>
    </row>
    <row r="30" spans="1:11">
      <c r="A30" t="s">
        <v>17</v>
      </c>
      <c r="I30" s="4"/>
      <c r="J30" s="7"/>
      <c r="K30" s="7"/>
    </row>
    <row r="31" spans="1:11" ht="15" customHeight="1">
      <c r="A31" t="s">
        <v>18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9E8E-8EAA-4C09-9D19-59F464075B2F}">
  <sheetPr>
    <tabColor theme="9" tint="0.59999389629810485"/>
  </sheetPr>
  <dimension ref="A1:J32"/>
  <sheetViews>
    <sheetView zoomScale="65" zoomScaleNormal="115" workbookViewId="0">
      <selection activeCell="K42" sqref="K42"/>
    </sheetView>
  </sheetViews>
  <sheetFormatPr defaultColWidth="11.42578125" defaultRowHeight="15"/>
  <cols>
    <col min="9" max="9" width="15.7109375" customWidth="1"/>
    <col min="10" max="10" width="16.42578125" customWidth="1"/>
  </cols>
  <sheetData>
    <row r="1" spans="1:10" ht="15.7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277</v>
      </c>
      <c r="G1" s="2" t="s">
        <v>278</v>
      </c>
      <c r="H1" s="2" t="s">
        <v>6</v>
      </c>
      <c r="I1" t="s">
        <v>279</v>
      </c>
      <c r="J1" t="s">
        <v>280</v>
      </c>
    </row>
    <row r="2" spans="1:10">
      <c r="A2">
        <v>1</v>
      </c>
      <c r="B2">
        <v>1</v>
      </c>
      <c r="D2">
        <v>15</v>
      </c>
      <c r="E2">
        <v>23</v>
      </c>
      <c r="F2">
        <v>197</v>
      </c>
      <c r="G2">
        <v>334</v>
      </c>
      <c r="H2" s="4">
        <v>0.93321600000000005</v>
      </c>
      <c r="I2" s="7">
        <f t="shared" ref="I2:I32" si="0">F2/(F2+D2)</f>
        <v>0.92924528301886788</v>
      </c>
      <c r="J2" s="7">
        <f>F2/(F2+E2)</f>
        <v>0.8954545454545455</v>
      </c>
    </row>
    <row r="3" spans="1:10">
      <c r="A3">
        <v>2</v>
      </c>
      <c r="D3">
        <v>13</v>
      </c>
      <c r="E3">
        <v>18</v>
      </c>
      <c r="F3">
        <v>199</v>
      </c>
      <c r="G3">
        <v>339</v>
      </c>
      <c r="H3" s="4">
        <v>0.94551799999999997</v>
      </c>
      <c r="I3" s="7">
        <f t="shared" si="0"/>
        <v>0.93867924528301883</v>
      </c>
      <c r="J3" s="7">
        <f>F3/(F3+E3)</f>
        <v>0.91705069124423966</v>
      </c>
    </row>
    <row r="4" spans="1:10">
      <c r="A4">
        <v>3</v>
      </c>
      <c r="D4">
        <v>16</v>
      </c>
      <c r="E4">
        <v>20</v>
      </c>
      <c r="F4">
        <v>196</v>
      </c>
      <c r="G4">
        <v>337</v>
      </c>
      <c r="H4" s="4">
        <v>0.93673099999999998</v>
      </c>
      <c r="I4" s="7">
        <f t="shared" si="0"/>
        <v>0.92452830188679247</v>
      </c>
      <c r="J4" s="7">
        <f>F4/(F4+E4)</f>
        <v>0.90740740740740744</v>
      </c>
    </row>
    <row r="5" spans="1:10">
      <c r="A5">
        <v>4</v>
      </c>
      <c r="D5">
        <v>13</v>
      </c>
      <c r="E5">
        <v>23</v>
      </c>
      <c r="F5">
        <v>199</v>
      </c>
      <c r="G5">
        <v>334</v>
      </c>
      <c r="H5" s="4">
        <v>0.93673099999999998</v>
      </c>
      <c r="I5" s="7">
        <f t="shared" si="0"/>
        <v>0.93867924528301883</v>
      </c>
      <c r="J5" s="7">
        <f>F5/(F5+D5)</f>
        <v>0.93867924528301883</v>
      </c>
    </row>
    <row r="6" spans="1:10">
      <c r="A6">
        <v>5</v>
      </c>
      <c r="D6">
        <v>9</v>
      </c>
      <c r="E6">
        <v>25</v>
      </c>
      <c r="F6">
        <v>203</v>
      </c>
      <c r="G6">
        <v>332</v>
      </c>
      <c r="H6" s="4">
        <v>0.94024600000000003</v>
      </c>
      <c r="I6" s="7">
        <f t="shared" si="0"/>
        <v>0.95754716981132071</v>
      </c>
      <c r="J6" s="7">
        <f t="shared" ref="J6:J28" si="1">F6/(F6+E6)</f>
        <v>0.89035087719298245</v>
      </c>
    </row>
    <row r="7" spans="1:10">
      <c r="A7">
        <v>6</v>
      </c>
      <c r="D7">
        <v>10</v>
      </c>
      <c r="E7">
        <v>24</v>
      </c>
      <c r="F7">
        <v>202</v>
      </c>
      <c r="G7">
        <v>333</v>
      </c>
      <c r="H7" s="4">
        <v>0.94024600000000003</v>
      </c>
      <c r="I7" s="7">
        <f t="shared" si="0"/>
        <v>0.95283018867924529</v>
      </c>
      <c r="J7" s="7">
        <f t="shared" si="1"/>
        <v>0.89380530973451322</v>
      </c>
    </row>
    <row r="8" spans="1:10">
      <c r="A8">
        <v>7</v>
      </c>
      <c r="C8" s="6"/>
      <c r="D8">
        <v>10</v>
      </c>
      <c r="E8">
        <v>32</v>
      </c>
      <c r="F8">
        <v>202</v>
      </c>
      <c r="G8">
        <v>325</v>
      </c>
      <c r="H8" s="4">
        <v>0.92618599999999995</v>
      </c>
      <c r="I8" s="12">
        <f t="shared" si="0"/>
        <v>0.95283018867924529</v>
      </c>
      <c r="J8" s="12">
        <f t="shared" si="1"/>
        <v>0.86324786324786329</v>
      </c>
    </row>
    <row r="9" spans="1:10">
      <c r="A9">
        <v>8</v>
      </c>
      <c r="D9">
        <v>11</v>
      </c>
      <c r="E9">
        <v>32</v>
      </c>
      <c r="F9">
        <v>201</v>
      </c>
      <c r="G9">
        <v>325</v>
      </c>
      <c r="H9" s="4">
        <v>0.92442899999999995</v>
      </c>
      <c r="I9" s="7">
        <f t="shared" si="0"/>
        <v>0.94811320754716977</v>
      </c>
      <c r="J9" s="7">
        <f t="shared" si="1"/>
        <v>0.86266094420600858</v>
      </c>
    </row>
    <row r="10" spans="1:10">
      <c r="A10">
        <v>9</v>
      </c>
      <c r="D10">
        <v>8</v>
      </c>
      <c r="E10">
        <v>34</v>
      </c>
      <c r="F10">
        <v>204</v>
      </c>
      <c r="G10">
        <v>323</v>
      </c>
      <c r="H10" s="4">
        <v>0.92618599999999995</v>
      </c>
      <c r="I10" s="7">
        <f t="shared" si="0"/>
        <v>0.96226415094339623</v>
      </c>
      <c r="J10" s="7">
        <f t="shared" si="1"/>
        <v>0.8571428571428571</v>
      </c>
    </row>
    <row r="11" spans="1:10">
      <c r="A11" s="6">
        <v>10</v>
      </c>
      <c r="B11" s="6"/>
      <c r="C11" s="6"/>
      <c r="D11" s="3">
        <v>6</v>
      </c>
      <c r="E11" s="3">
        <v>36</v>
      </c>
      <c r="F11" s="3">
        <v>206</v>
      </c>
      <c r="G11" s="3">
        <v>321</v>
      </c>
      <c r="H11" s="5">
        <v>0.92618599999999995</v>
      </c>
      <c r="I11" s="10">
        <f t="shared" si="0"/>
        <v>0.97169811320754718</v>
      </c>
      <c r="J11" s="10">
        <f t="shared" si="1"/>
        <v>0.85123966942148765</v>
      </c>
    </row>
    <row r="12" spans="1:10">
      <c r="A12">
        <v>11</v>
      </c>
      <c r="D12">
        <v>6</v>
      </c>
      <c r="E12">
        <v>40</v>
      </c>
      <c r="F12">
        <v>206</v>
      </c>
      <c r="G12">
        <v>317</v>
      </c>
      <c r="H12" s="4">
        <v>0.91915599999999997</v>
      </c>
      <c r="I12" s="7">
        <f t="shared" si="0"/>
        <v>0.97169811320754718</v>
      </c>
      <c r="J12" s="7">
        <f t="shared" si="1"/>
        <v>0.83739837398373984</v>
      </c>
    </row>
    <row r="13" spans="1:10">
      <c r="A13">
        <v>12</v>
      </c>
      <c r="D13">
        <v>6</v>
      </c>
      <c r="E13">
        <v>41</v>
      </c>
      <c r="F13">
        <v>206</v>
      </c>
      <c r="G13">
        <v>316</v>
      </c>
      <c r="H13" s="4">
        <v>0.91739899999999996</v>
      </c>
      <c r="I13" s="7">
        <f t="shared" si="0"/>
        <v>0.97169811320754718</v>
      </c>
      <c r="J13" s="7">
        <f t="shared" si="1"/>
        <v>0.83400809716599189</v>
      </c>
    </row>
    <row r="14" spans="1:10">
      <c r="A14">
        <v>13</v>
      </c>
      <c r="D14">
        <v>6</v>
      </c>
      <c r="E14">
        <v>43</v>
      </c>
      <c r="F14">
        <v>206</v>
      </c>
      <c r="G14">
        <v>314</v>
      </c>
      <c r="H14" s="4">
        <v>0.91388400000000003</v>
      </c>
      <c r="I14" s="7">
        <f t="shared" si="0"/>
        <v>0.97169811320754718</v>
      </c>
      <c r="J14" s="7">
        <f t="shared" si="1"/>
        <v>0.82730923694779113</v>
      </c>
    </row>
    <row r="15" spans="1:10">
      <c r="A15">
        <v>14</v>
      </c>
      <c r="D15">
        <v>7</v>
      </c>
      <c r="E15">
        <v>44</v>
      </c>
      <c r="F15">
        <v>205</v>
      </c>
      <c r="G15">
        <v>313</v>
      </c>
      <c r="H15" s="4">
        <v>0.91036899999999998</v>
      </c>
      <c r="I15" s="7">
        <f t="shared" si="0"/>
        <v>0.96698113207547165</v>
      </c>
      <c r="J15" s="7">
        <f t="shared" si="1"/>
        <v>0.82329317269076308</v>
      </c>
    </row>
    <row r="16" spans="1:10">
      <c r="A16">
        <v>15</v>
      </c>
      <c r="D16">
        <v>7</v>
      </c>
      <c r="E16">
        <v>42</v>
      </c>
      <c r="F16">
        <v>205</v>
      </c>
      <c r="G16">
        <v>315</v>
      </c>
      <c r="H16" s="4">
        <v>0.91388400000000003</v>
      </c>
      <c r="I16" s="7">
        <f t="shared" si="0"/>
        <v>0.96698113207547165</v>
      </c>
      <c r="J16" s="7">
        <f t="shared" si="1"/>
        <v>0.82995951417004044</v>
      </c>
    </row>
    <row r="17" spans="1:10">
      <c r="A17">
        <v>16</v>
      </c>
      <c r="D17">
        <v>6</v>
      </c>
      <c r="E17">
        <v>43</v>
      </c>
      <c r="F17">
        <v>206</v>
      </c>
      <c r="G17">
        <v>314</v>
      </c>
      <c r="H17" s="4">
        <v>0.91388400000000003</v>
      </c>
      <c r="I17" s="7">
        <f t="shared" si="0"/>
        <v>0.97169811320754718</v>
      </c>
      <c r="J17" s="7">
        <f t="shared" si="1"/>
        <v>0.82730923694779113</v>
      </c>
    </row>
    <row r="18" spans="1:10">
      <c r="A18">
        <v>17</v>
      </c>
      <c r="D18">
        <v>8</v>
      </c>
      <c r="E18">
        <v>44</v>
      </c>
      <c r="F18">
        <v>204</v>
      </c>
      <c r="G18">
        <v>313</v>
      </c>
      <c r="H18" s="4">
        <v>0.90861199999999998</v>
      </c>
      <c r="I18" s="7">
        <f t="shared" si="0"/>
        <v>0.96226415094339623</v>
      </c>
      <c r="J18" s="7">
        <f t="shared" si="1"/>
        <v>0.82258064516129037</v>
      </c>
    </row>
    <row r="19" spans="1:10">
      <c r="A19">
        <v>18</v>
      </c>
      <c r="D19">
        <v>6</v>
      </c>
      <c r="E19">
        <v>53</v>
      </c>
      <c r="F19">
        <v>206</v>
      </c>
      <c r="G19">
        <v>304</v>
      </c>
      <c r="H19" s="4">
        <v>0.89630900000000002</v>
      </c>
      <c r="I19" s="7">
        <f t="shared" si="0"/>
        <v>0.97169811320754718</v>
      </c>
      <c r="J19" s="7">
        <f t="shared" si="1"/>
        <v>0.79536679536679533</v>
      </c>
    </row>
    <row r="20" spans="1:10">
      <c r="A20">
        <v>19</v>
      </c>
      <c r="D20">
        <v>7</v>
      </c>
      <c r="E20">
        <v>57</v>
      </c>
      <c r="F20">
        <v>205</v>
      </c>
      <c r="G20">
        <v>300</v>
      </c>
      <c r="H20" s="4">
        <v>0.88752200000000003</v>
      </c>
      <c r="I20" s="7">
        <f t="shared" si="0"/>
        <v>0.96698113207547165</v>
      </c>
      <c r="J20" s="7">
        <f t="shared" si="1"/>
        <v>0.78244274809160308</v>
      </c>
    </row>
    <row r="21" spans="1:10">
      <c r="A21">
        <v>20</v>
      </c>
      <c r="D21">
        <v>7</v>
      </c>
      <c r="E21">
        <v>56</v>
      </c>
      <c r="F21">
        <v>205</v>
      </c>
      <c r="G21">
        <v>301</v>
      </c>
      <c r="H21" s="4">
        <v>0.88927900000000004</v>
      </c>
      <c r="I21" s="7">
        <f t="shared" si="0"/>
        <v>0.96698113207547165</v>
      </c>
      <c r="J21" s="7">
        <f t="shared" si="1"/>
        <v>0.78544061302681989</v>
      </c>
    </row>
    <row r="22" spans="1:10">
      <c r="A22">
        <v>25</v>
      </c>
      <c r="D22">
        <v>7</v>
      </c>
      <c r="E22">
        <v>63</v>
      </c>
      <c r="F22">
        <v>205</v>
      </c>
      <c r="G22">
        <v>294</v>
      </c>
      <c r="H22" s="4">
        <v>0.87697700000000001</v>
      </c>
      <c r="I22" s="7">
        <f t="shared" si="0"/>
        <v>0.96698113207547165</v>
      </c>
      <c r="J22" s="7">
        <f t="shared" si="1"/>
        <v>0.7649253731343284</v>
      </c>
    </row>
    <row r="23" spans="1:10">
      <c r="A23">
        <v>30</v>
      </c>
      <c r="D23">
        <v>6</v>
      </c>
      <c r="E23">
        <v>94</v>
      </c>
      <c r="F23">
        <v>206</v>
      </c>
      <c r="G23">
        <v>263</v>
      </c>
      <c r="H23" s="4">
        <v>0.82425300000000001</v>
      </c>
      <c r="I23" s="7">
        <f t="shared" si="0"/>
        <v>0.97169811320754718</v>
      </c>
      <c r="J23" s="7">
        <f t="shared" si="1"/>
        <v>0.68666666666666665</v>
      </c>
    </row>
    <row r="24" spans="1:10">
      <c r="A24">
        <v>35</v>
      </c>
      <c r="D24">
        <v>6</v>
      </c>
      <c r="E24">
        <v>89</v>
      </c>
      <c r="F24">
        <v>206</v>
      </c>
      <c r="G24">
        <v>268</v>
      </c>
      <c r="H24" s="4">
        <v>0.83304</v>
      </c>
      <c r="I24" s="7">
        <f t="shared" si="0"/>
        <v>0.97169811320754718</v>
      </c>
      <c r="J24" s="7">
        <f t="shared" si="1"/>
        <v>0.69830508474576269</v>
      </c>
    </row>
    <row r="25" spans="1:10">
      <c r="A25">
        <v>40</v>
      </c>
      <c r="D25" s="3">
        <v>4</v>
      </c>
      <c r="E25" s="3">
        <v>106</v>
      </c>
      <c r="F25" s="3">
        <v>208</v>
      </c>
      <c r="G25" s="3">
        <v>251</v>
      </c>
      <c r="H25" s="5">
        <v>0.80667800000000001</v>
      </c>
      <c r="I25" s="10">
        <f t="shared" si="0"/>
        <v>0.98113207547169812</v>
      </c>
      <c r="J25" s="10">
        <f t="shared" si="1"/>
        <v>0.66242038216560506</v>
      </c>
    </row>
    <row r="26" spans="1:10">
      <c r="A26">
        <v>45</v>
      </c>
      <c r="D26" s="3">
        <v>3</v>
      </c>
      <c r="E26" s="3">
        <v>114</v>
      </c>
      <c r="F26" s="3">
        <v>209</v>
      </c>
      <c r="G26" s="3">
        <v>243</v>
      </c>
      <c r="H26" s="5">
        <v>0.79437599999999997</v>
      </c>
      <c r="I26" s="10">
        <f t="shared" si="0"/>
        <v>0.98584905660377353</v>
      </c>
      <c r="J26" s="10">
        <f t="shared" si="1"/>
        <v>0.6470588235294118</v>
      </c>
    </row>
    <row r="27" spans="1:10">
      <c r="A27">
        <v>50</v>
      </c>
      <c r="D27">
        <v>4</v>
      </c>
      <c r="E27">
        <v>108</v>
      </c>
      <c r="F27">
        <v>208</v>
      </c>
      <c r="G27">
        <v>249</v>
      </c>
      <c r="H27" s="4">
        <v>0.80316299999999996</v>
      </c>
      <c r="I27" s="7">
        <f t="shared" si="0"/>
        <v>0.98113207547169812</v>
      </c>
      <c r="J27" s="7">
        <f t="shared" si="1"/>
        <v>0.65822784810126578</v>
      </c>
    </row>
    <row r="28" spans="1:10">
      <c r="A28">
        <v>100</v>
      </c>
      <c r="D28">
        <v>3</v>
      </c>
      <c r="E28">
        <v>157</v>
      </c>
      <c r="F28">
        <v>209</v>
      </c>
      <c r="G28">
        <v>200</v>
      </c>
      <c r="H28" s="4">
        <v>0.71880500000000003</v>
      </c>
      <c r="I28" s="7">
        <f t="shared" si="0"/>
        <v>0.98584905660377353</v>
      </c>
      <c r="J28" s="7">
        <f t="shared" si="1"/>
        <v>0.57103825136612019</v>
      </c>
    </row>
    <row r="29" spans="1:10">
      <c r="A29">
        <v>270</v>
      </c>
      <c r="D29">
        <v>3</v>
      </c>
      <c r="E29">
        <v>305</v>
      </c>
      <c r="F29">
        <v>209</v>
      </c>
      <c r="G29">
        <v>52</v>
      </c>
      <c r="H29" s="4">
        <v>0.45869900000000002</v>
      </c>
      <c r="I29" s="7">
        <f t="shared" si="0"/>
        <v>0.98584905660377353</v>
      </c>
      <c r="J29" s="7">
        <f>F29/(F29+E29)</f>
        <v>0.4066147859922179</v>
      </c>
    </row>
    <row r="30" spans="1:10">
      <c r="A30">
        <v>272</v>
      </c>
      <c r="D30">
        <v>3</v>
      </c>
      <c r="E30">
        <v>305</v>
      </c>
      <c r="F30">
        <v>209</v>
      </c>
      <c r="G30">
        <v>52</v>
      </c>
      <c r="H30" s="7">
        <v>0.45869900000000002</v>
      </c>
      <c r="I30" s="7">
        <f t="shared" si="0"/>
        <v>0.98584905660377353</v>
      </c>
      <c r="J30" s="7">
        <f t="shared" ref="J30:J32" si="2">F30/(F30+E30)</f>
        <v>0.4066147859922179</v>
      </c>
    </row>
    <row r="31" spans="1:10">
      <c r="A31">
        <v>272.012</v>
      </c>
      <c r="D31">
        <v>1</v>
      </c>
      <c r="E31">
        <v>331</v>
      </c>
      <c r="F31">
        <v>211</v>
      </c>
      <c r="G31">
        <v>26</v>
      </c>
      <c r="H31" s="7">
        <v>0.41652</v>
      </c>
      <c r="I31" s="7">
        <f t="shared" si="0"/>
        <v>0.99528301886792447</v>
      </c>
      <c r="J31" s="7">
        <f t="shared" si="2"/>
        <v>0.38929889298892989</v>
      </c>
    </row>
    <row r="32" spans="1:10">
      <c r="A32">
        <v>272.01859999999999</v>
      </c>
      <c r="D32">
        <v>0</v>
      </c>
      <c r="E32">
        <v>357</v>
      </c>
      <c r="F32">
        <v>212</v>
      </c>
      <c r="G32">
        <v>0</v>
      </c>
      <c r="H32" s="7">
        <v>0.372583</v>
      </c>
      <c r="I32" s="7">
        <f t="shared" si="0"/>
        <v>1</v>
      </c>
      <c r="J32" s="7">
        <f t="shared" si="2"/>
        <v>0.37258347978910367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4F4F-F9BE-4FE9-BBAE-47F2C5468167}">
  <sheetPr>
    <tabColor theme="3" tint="0.749992370372631"/>
  </sheetPr>
  <dimension ref="A1:J47"/>
  <sheetViews>
    <sheetView topLeftCell="A22" workbookViewId="0">
      <selection activeCell="N24" sqref="N24"/>
    </sheetView>
  </sheetViews>
  <sheetFormatPr defaultColWidth="11.42578125" defaultRowHeight="15"/>
  <cols>
    <col min="8" max="8" width="11.7109375" bestFit="1" customWidth="1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277</v>
      </c>
      <c r="G1" s="2" t="s">
        <v>278</v>
      </c>
      <c r="H1" s="2" t="s">
        <v>6</v>
      </c>
      <c r="I1" t="s">
        <v>279</v>
      </c>
      <c r="J1" t="s">
        <v>280</v>
      </c>
    </row>
    <row r="2" spans="1:10">
      <c r="A2">
        <v>1</v>
      </c>
      <c r="B2">
        <v>1</v>
      </c>
      <c r="D2">
        <v>22</v>
      </c>
      <c r="E2">
        <v>18</v>
      </c>
      <c r="F2">
        <v>190</v>
      </c>
      <c r="G2">
        <v>339</v>
      </c>
      <c r="H2" s="4">
        <v>92.970100000000002</v>
      </c>
      <c r="I2" s="7">
        <f t="shared" ref="I2" si="0">F2/(F2+D2)</f>
        <v>0.89622641509433965</v>
      </c>
      <c r="J2" s="7">
        <f t="shared" ref="J2:J37" si="1">F2/(F2+E2)</f>
        <v>0.91346153846153844</v>
      </c>
    </row>
    <row r="3" spans="1:10">
      <c r="A3">
        <v>2</v>
      </c>
      <c r="D3">
        <v>21</v>
      </c>
      <c r="E3">
        <v>19</v>
      </c>
      <c r="F3">
        <v>191</v>
      </c>
      <c r="G3">
        <v>338</v>
      </c>
      <c r="H3">
        <v>92.970100000000002</v>
      </c>
      <c r="I3" s="7">
        <f t="shared" ref="I3:I37" si="2">F3/(F3+D3)</f>
        <v>0.90094339622641506</v>
      </c>
      <c r="J3" s="7">
        <f t="shared" si="1"/>
        <v>0.90952380952380951</v>
      </c>
    </row>
    <row r="4" spans="1:10">
      <c r="A4">
        <v>3</v>
      </c>
      <c r="D4">
        <v>21</v>
      </c>
      <c r="E4">
        <v>19</v>
      </c>
      <c r="F4">
        <v>191</v>
      </c>
      <c r="G4">
        <v>338</v>
      </c>
      <c r="H4">
        <v>92.970100000000002</v>
      </c>
      <c r="I4" s="7">
        <f t="shared" si="2"/>
        <v>0.90094339622641506</v>
      </c>
      <c r="J4" s="7">
        <f t="shared" si="1"/>
        <v>0.90952380952380951</v>
      </c>
    </row>
    <row r="5" spans="1:10">
      <c r="A5">
        <v>4</v>
      </c>
      <c r="D5">
        <v>21</v>
      </c>
      <c r="E5">
        <v>19</v>
      </c>
      <c r="F5">
        <v>191</v>
      </c>
      <c r="G5">
        <v>338</v>
      </c>
      <c r="H5">
        <v>92.970100000000002</v>
      </c>
      <c r="I5" s="7">
        <f t="shared" si="2"/>
        <v>0.90094339622641506</v>
      </c>
      <c r="J5" s="7">
        <f t="shared" si="1"/>
        <v>0.90952380952380951</v>
      </c>
    </row>
    <row r="6" spans="1:10">
      <c r="A6">
        <v>5</v>
      </c>
      <c r="D6">
        <v>21</v>
      </c>
      <c r="E6">
        <v>19</v>
      </c>
      <c r="F6">
        <v>191</v>
      </c>
      <c r="G6">
        <v>338</v>
      </c>
      <c r="H6">
        <v>92.970100000000002</v>
      </c>
      <c r="I6" s="7">
        <f t="shared" si="2"/>
        <v>0.90094339622641506</v>
      </c>
      <c r="J6" s="7">
        <f t="shared" si="1"/>
        <v>0.90952380952380951</v>
      </c>
    </row>
    <row r="7" spans="1:10">
      <c r="A7">
        <v>6</v>
      </c>
      <c r="D7">
        <v>21</v>
      </c>
      <c r="E7">
        <v>19</v>
      </c>
      <c r="F7">
        <v>191</v>
      </c>
      <c r="G7">
        <v>338</v>
      </c>
      <c r="H7">
        <v>92.970100000000002</v>
      </c>
      <c r="I7" s="7">
        <f t="shared" si="2"/>
        <v>0.90094339622641506</v>
      </c>
      <c r="J7" s="7">
        <f t="shared" si="1"/>
        <v>0.90952380952380951</v>
      </c>
    </row>
    <row r="8" spans="1:10">
      <c r="A8">
        <v>7</v>
      </c>
      <c r="D8">
        <v>21</v>
      </c>
      <c r="E8">
        <v>19</v>
      </c>
      <c r="F8">
        <v>191</v>
      </c>
      <c r="G8">
        <v>338</v>
      </c>
      <c r="H8">
        <v>92.970100000000002</v>
      </c>
      <c r="I8" s="7">
        <f t="shared" si="2"/>
        <v>0.90094339622641506</v>
      </c>
      <c r="J8" s="7">
        <f t="shared" si="1"/>
        <v>0.90952380952380951</v>
      </c>
    </row>
    <row r="9" spans="1:10">
      <c r="A9">
        <v>8</v>
      </c>
      <c r="D9">
        <v>21</v>
      </c>
      <c r="E9">
        <v>19</v>
      </c>
      <c r="F9">
        <v>191</v>
      </c>
      <c r="G9">
        <v>338</v>
      </c>
      <c r="H9">
        <v>92.970100000000002</v>
      </c>
      <c r="I9" s="7">
        <f t="shared" si="2"/>
        <v>0.90094339622641506</v>
      </c>
      <c r="J9" s="7">
        <f t="shared" si="1"/>
        <v>0.90952380952380951</v>
      </c>
    </row>
    <row r="10" spans="1:10">
      <c r="A10">
        <v>9</v>
      </c>
      <c r="D10">
        <v>21</v>
      </c>
      <c r="E10">
        <v>19</v>
      </c>
      <c r="F10">
        <v>191</v>
      </c>
      <c r="G10">
        <v>338</v>
      </c>
      <c r="H10">
        <v>92.970100000000002</v>
      </c>
      <c r="I10" s="7">
        <f t="shared" si="2"/>
        <v>0.90094339622641506</v>
      </c>
      <c r="J10" s="7">
        <f t="shared" si="1"/>
        <v>0.90952380952380951</v>
      </c>
    </row>
    <row r="11" spans="1:10">
      <c r="A11">
        <v>10</v>
      </c>
      <c r="D11">
        <v>21</v>
      </c>
      <c r="E11">
        <v>19</v>
      </c>
      <c r="F11">
        <v>191</v>
      </c>
      <c r="G11">
        <v>338</v>
      </c>
      <c r="H11">
        <v>92.970100000000002</v>
      </c>
      <c r="I11" s="7">
        <f t="shared" si="2"/>
        <v>0.90094339622641506</v>
      </c>
      <c r="J11" s="7">
        <f t="shared" si="1"/>
        <v>0.90952380952380951</v>
      </c>
    </row>
    <row r="12" spans="1:10">
      <c r="A12">
        <v>20</v>
      </c>
      <c r="D12">
        <v>20</v>
      </c>
      <c r="E12">
        <v>20</v>
      </c>
      <c r="F12">
        <v>192</v>
      </c>
      <c r="G12">
        <v>337</v>
      </c>
      <c r="H12">
        <v>92.970100000000002</v>
      </c>
      <c r="I12" s="7">
        <f t="shared" si="2"/>
        <v>0.90566037735849059</v>
      </c>
      <c r="J12" s="7">
        <f t="shared" si="1"/>
        <v>0.90566037735849059</v>
      </c>
    </row>
    <row r="13" spans="1:10">
      <c r="A13">
        <v>30</v>
      </c>
      <c r="D13">
        <v>19</v>
      </c>
      <c r="E13">
        <v>20</v>
      </c>
      <c r="F13">
        <v>193</v>
      </c>
      <c r="G13">
        <v>337</v>
      </c>
      <c r="H13">
        <v>93.145899999999997</v>
      </c>
      <c r="I13" s="7">
        <f t="shared" si="2"/>
        <v>0.910377358490566</v>
      </c>
      <c r="J13" s="7">
        <f t="shared" si="1"/>
        <v>0.9061032863849765</v>
      </c>
    </row>
    <row r="14" spans="1:10">
      <c r="A14">
        <v>40</v>
      </c>
      <c r="D14">
        <v>19</v>
      </c>
      <c r="E14">
        <v>22</v>
      </c>
      <c r="F14">
        <v>193</v>
      </c>
      <c r="G14">
        <v>335</v>
      </c>
      <c r="H14">
        <v>92.794399999999996</v>
      </c>
      <c r="I14" s="7">
        <f t="shared" si="2"/>
        <v>0.910377358490566</v>
      </c>
      <c r="J14" s="7">
        <f t="shared" si="1"/>
        <v>0.89767441860465114</v>
      </c>
    </row>
    <row r="15" spans="1:10">
      <c r="A15">
        <v>50</v>
      </c>
      <c r="D15">
        <v>19</v>
      </c>
      <c r="E15">
        <v>22</v>
      </c>
      <c r="F15">
        <v>193</v>
      </c>
      <c r="G15">
        <v>335</v>
      </c>
      <c r="H15">
        <v>92.794399999999996</v>
      </c>
      <c r="I15" s="7">
        <f t="shared" si="2"/>
        <v>0.910377358490566</v>
      </c>
      <c r="J15" s="7">
        <f t="shared" si="1"/>
        <v>0.89767441860465114</v>
      </c>
    </row>
    <row r="16" spans="1:10">
      <c r="A16">
        <v>60</v>
      </c>
      <c r="D16">
        <v>18</v>
      </c>
      <c r="E16">
        <v>22</v>
      </c>
      <c r="F16">
        <v>194</v>
      </c>
      <c r="G16">
        <v>335</v>
      </c>
      <c r="H16">
        <v>92.970100000000002</v>
      </c>
      <c r="I16" s="7">
        <f t="shared" si="2"/>
        <v>0.91509433962264153</v>
      </c>
      <c r="J16" s="7">
        <f t="shared" si="1"/>
        <v>0.89814814814814814</v>
      </c>
    </row>
    <row r="17" spans="1:10">
      <c r="A17">
        <v>70</v>
      </c>
      <c r="D17">
        <v>17</v>
      </c>
      <c r="E17">
        <v>22</v>
      </c>
      <c r="F17">
        <v>195</v>
      </c>
      <c r="G17">
        <v>335</v>
      </c>
      <c r="H17">
        <v>93.145899999999997</v>
      </c>
      <c r="I17" s="7">
        <f t="shared" si="2"/>
        <v>0.91981132075471694</v>
      </c>
      <c r="J17" s="7">
        <f t="shared" si="1"/>
        <v>0.89861751152073732</v>
      </c>
    </row>
    <row r="18" spans="1:10">
      <c r="A18">
        <v>80</v>
      </c>
      <c r="D18">
        <v>16</v>
      </c>
      <c r="E18">
        <v>22</v>
      </c>
      <c r="F18">
        <v>196</v>
      </c>
      <c r="G18">
        <v>335</v>
      </c>
      <c r="H18">
        <v>93.321600000000004</v>
      </c>
      <c r="I18" s="7">
        <f t="shared" si="2"/>
        <v>0.92452830188679247</v>
      </c>
      <c r="J18" s="7">
        <f t="shared" si="1"/>
        <v>0.8990825688073395</v>
      </c>
    </row>
    <row r="19" spans="1:10">
      <c r="A19">
        <v>90</v>
      </c>
      <c r="D19">
        <v>15</v>
      </c>
      <c r="E19">
        <v>22</v>
      </c>
      <c r="F19">
        <v>197</v>
      </c>
      <c r="G19">
        <v>335</v>
      </c>
      <c r="H19">
        <v>93.497399999999999</v>
      </c>
      <c r="I19" s="7">
        <f t="shared" si="2"/>
        <v>0.92924528301886788</v>
      </c>
      <c r="J19" s="7">
        <f t="shared" si="1"/>
        <v>0.8995433789954338</v>
      </c>
    </row>
    <row r="20" spans="1:10">
      <c r="A20">
        <v>100</v>
      </c>
      <c r="D20">
        <v>15</v>
      </c>
      <c r="E20">
        <v>22</v>
      </c>
      <c r="F20">
        <v>197</v>
      </c>
      <c r="G20">
        <v>335</v>
      </c>
      <c r="H20">
        <v>93.497399999999999</v>
      </c>
      <c r="I20" s="7">
        <f t="shared" si="2"/>
        <v>0.92924528301886788</v>
      </c>
      <c r="J20" s="7">
        <f t="shared" si="1"/>
        <v>0.8995433789954338</v>
      </c>
    </row>
    <row r="21" spans="1:10">
      <c r="A21">
        <v>150</v>
      </c>
      <c r="D21">
        <v>15</v>
      </c>
      <c r="E21">
        <v>23</v>
      </c>
      <c r="F21">
        <v>197</v>
      </c>
      <c r="G21">
        <v>334</v>
      </c>
      <c r="H21">
        <v>93.321600000000004</v>
      </c>
      <c r="I21" s="7">
        <f t="shared" si="2"/>
        <v>0.92924528301886788</v>
      </c>
      <c r="J21" s="7">
        <f t="shared" si="1"/>
        <v>0.8954545454545455</v>
      </c>
    </row>
    <row r="22" spans="1:10">
      <c r="A22">
        <v>200</v>
      </c>
      <c r="D22">
        <v>14</v>
      </c>
      <c r="E22">
        <v>23</v>
      </c>
      <c r="F22">
        <v>198</v>
      </c>
      <c r="G22">
        <v>334</v>
      </c>
      <c r="H22">
        <v>93.497399999999999</v>
      </c>
      <c r="I22" s="7">
        <f t="shared" si="2"/>
        <v>0.93396226415094341</v>
      </c>
      <c r="J22" s="7">
        <f t="shared" si="1"/>
        <v>0.89592760180995479</v>
      </c>
    </row>
    <row r="23" spans="1:10">
      <c r="A23">
        <v>250</v>
      </c>
      <c r="D23">
        <v>14</v>
      </c>
      <c r="E23">
        <v>23</v>
      </c>
      <c r="F23">
        <v>198</v>
      </c>
      <c r="G23">
        <v>334</v>
      </c>
      <c r="H23">
        <v>93.497399999999999</v>
      </c>
      <c r="I23" s="7">
        <f t="shared" si="2"/>
        <v>0.93396226415094341</v>
      </c>
      <c r="J23" s="7">
        <f t="shared" si="1"/>
        <v>0.89592760180995479</v>
      </c>
    </row>
    <row r="24" spans="1:10">
      <c r="A24">
        <v>300</v>
      </c>
      <c r="D24">
        <v>14</v>
      </c>
      <c r="E24">
        <v>23</v>
      </c>
      <c r="F24">
        <v>198</v>
      </c>
      <c r="G24">
        <v>334</v>
      </c>
      <c r="H24">
        <v>93.497399999999999</v>
      </c>
      <c r="I24" s="7">
        <f t="shared" si="2"/>
        <v>0.93396226415094341</v>
      </c>
      <c r="J24" s="7">
        <f t="shared" si="1"/>
        <v>0.89592760180995479</v>
      </c>
    </row>
    <row r="25" spans="1:10">
      <c r="A25">
        <v>350</v>
      </c>
      <c r="D25">
        <v>14</v>
      </c>
      <c r="E25">
        <v>24</v>
      </c>
      <c r="F25">
        <v>198</v>
      </c>
      <c r="G25">
        <v>333</v>
      </c>
      <c r="H25">
        <v>93.321600000000004</v>
      </c>
      <c r="I25" s="7">
        <f t="shared" si="2"/>
        <v>0.93396226415094341</v>
      </c>
      <c r="J25" s="7">
        <f t="shared" si="1"/>
        <v>0.89189189189189189</v>
      </c>
    </row>
    <row r="26" spans="1:10">
      <c r="A26">
        <v>400</v>
      </c>
      <c r="D26">
        <v>14</v>
      </c>
      <c r="E26">
        <v>24</v>
      </c>
      <c r="F26">
        <v>198</v>
      </c>
      <c r="G26">
        <v>333</v>
      </c>
      <c r="H26">
        <v>93.321600000000004</v>
      </c>
      <c r="I26" s="7">
        <f t="shared" si="2"/>
        <v>0.93396226415094341</v>
      </c>
      <c r="J26" s="7">
        <f t="shared" si="1"/>
        <v>0.89189189189189189</v>
      </c>
    </row>
    <row r="27" spans="1:10">
      <c r="A27">
        <v>450</v>
      </c>
      <c r="D27">
        <v>14</v>
      </c>
      <c r="E27">
        <v>24</v>
      </c>
      <c r="F27">
        <v>198</v>
      </c>
      <c r="G27">
        <v>333</v>
      </c>
      <c r="H27">
        <v>93.321600000000004</v>
      </c>
      <c r="I27" s="7">
        <f t="shared" si="2"/>
        <v>0.93396226415094341</v>
      </c>
      <c r="J27" s="7">
        <f t="shared" si="1"/>
        <v>0.89189189189189189</v>
      </c>
    </row>
    <row r="28" spans="1:10">
      <c r="A28">
        <v>500</v>
      </c>
      <c r="D28">
        <v>14</v>
      </c>
      <c r="E28">
        <v>24</v>
      </c>
      <c r="F28">
        <v>198</v>
      </c>
      <c r="G28">
        <v>333</v>
      </c>
      <c r="H28">
        <v>93.321600000000004</v>
      </c>
      <c r="I28" s="7">
        <f t="shared" si="2"/>
        <v>0.93396226415094341</v>
      </c>
      <c r="J28" s="7">
        <f t="shared" si="1"/>
        <v>0.89189189189189189</v>
      </c>
    </row>
    <row r="29" spans="1:10">
      <c r="A29">
        <v>600</v>
      </c>
      <c r="D29">
        <v>14</v>
      </c>
      <c r="E29">
        <v>24</v>
      </c>
      <c r="F29">
        <v>198</v>
      </c>
      <c r="G29">
        <v>333</v>
      </c>
      <c r="H29">
        <v>93.321600000000004</v>
      </c>
      <c r="I29" s="7">
        <f t="shared" si="2"/>
        <v>0.93396226415094341</v>
      </c>
      <c r="J29" s="7">
        <f t="shared" si="1"/>
        <v>0.89189189189189189</v>
      </c>
    </row>
    <row r="30" spans="1:10">
      <c r="A30">
        <v>700</v>
      </c>
      <c r="D30">
        <v>14</v>
      </c>
      <c r="E30">
        <v>24</v>
      </c>
      <c r="F30">
        <v>198</v>
      </c>
      <c r="G30">
        <v>333</v>
      </c>
      <c r="H30">
        <v>93.321600000000004</v>
      </c>
      <c r="I30" s="7">
        <f t="shared" si="2"/>
        <v>0.93396226415094341</v>
      </c>
      <c r="J30" s="7">
        <f t="shared" si="1"/>
        <v>0.89189189189189189</v>
      </c>
    </row>
    <row r="31" spans="1:10">
      <c r="A31">
        <v>800</v>
      </c>
      <c r="D31">
        <v>14</v>
      </c>
      <c r="E31">
        <v>24</v>
      </c>
      <c r="F31">
        <v>198</v>
      </c>
      <c r="G31">
        <v>333</v>
      </c>
      <c r="H31">
        <v>93.321600000000004</v>
      </c>
      <c r="I31" s="7">
        <f t="shared" si="2"/>
        <v>0.93396226415094341</v>
      </c>
      <c r="J31" s="7">
        <f t="shared" si="1"/>
        <v>0.89189189189189189</v>
      </c>
    </row>
    <row r="32" spans="1:10">
      <c r="A32">
        <v>900</v>
      </c>
      <c r="D32">
        <v>14</v>
      </c>
      <c r="E32">
        <v>24</v>
      </c>
      <c r="F32">
        <v>198</v>
      </c>
      <c r="G32">
        <v>333</v>
      </c>
      <c r="H32">
        <v>93.321600000000004</v>
      </c>
      <c r="I32" s="7">
        <f t="shared" si="2"/>
        <v>0.93396226415094341</v>
      </c>
      <c r="J32" s="7">
        <f t="shared" si="1"/>
        <v>0.89189189189189189</v>
      </c>
    </row>
    <row r="33" spans="1:10">
      <c r="A33">
        <v>1000</v>
      </c>
      <c r="D33">
        <v>14</v>
      </c>
      <c r="E33">
        <v>24</v>
      </c>
      <c r="F33">
        <v>198</v>
      </c>
      <c r="G33">
        <v>333</v>
      </c>
      <c r="H33">
        <v>93.321600000000004</v>
      </c>
      <c r="I33" s="7">
        <f t="shared" si="2"/>
        <v>0.93396226415094341</v>
      </c>
      <c r="J33" s="7">
        <f t="shared" si="1"/>
        <v>0.89189189189189189</v>
      </c>
    </row>
    <row r="34" spans="1:10">
      <c r="A34">
        <v>10000</v>
      </c>
      <c r="D34">
        <v>13</v>
      </c>
      <c r="E34">
        <v>25</v>
      </c>
      <c r="F34">
        <v>199</v>
      </c>
      <c r="G34">
        <v>332</v>
      </c>
      <c r="H34">
        <v>93.321600000000004</v>
      </c>
      <c r="I34" s="7">
        <f t="shared" si="2"/>
        <v>0.93867924528301883</v>
      </c>
      <c r="J34" s="7">
        <f t="shared" si="1"/>
        <v>0.8883928571428571</v>
      </c>
    </row>
    <row r="35" spans="1:10">
      <c r="A35">
        <v>100000</v>
      </c>
      <c r="D35">
        <v>13</v>
      </c>
      <c r="E35">
        <v>25</v>
      </c>
      <c r="F35">
        <v>199</v>
      </c>
      <c r="G35">
        <v>332</v>
      </c>
      <c r="H35">
        <v>93.321600000000004</v>
      </c>
      <c r="I35" s="7">
        <f t="shared" si="2"/>
        <v>0.93867924528301883</v>
      </c>
      <c r="J35" s="7">
        <f t="shared" si="1"/>
        <v>0.8883928571428571</v>
      </c>
    </row>
    <row r="36" spans="1:10">
      <c r="A36">
        <v>1000000</v>
      </c>
      <c r="D36">
        <v>13</v>
      </c>
      <c r="E36">
        <v>25</v>
      </c>
      <c r="F36">
        <v>199</v>
      </c>
      <c r="G36">
        <v>332</v>
      </c>
      <c r="H36">
        <v>93.321600000000004</v>
      </c>
      <c r="I36" s="7">
        <f t="shared" si="2"/>
        <v>0.93867924528301883</v>
      </c>
      <c r="J36" s="7">
        <f t="shared" si="1"/>
        <v>0.8883928571428571</v>
      </c>
    </row>
    <row r="37" spans="1:10">
      <c r="A37">
        <v>10000000</v>
      </c>
      <c r="D37">
        <v>13</v>
      </c>
      <c r="E37">
        <v>25</v>
      </c>
      <c r="F37">
        <v>199</v>
      </c>
      <c r="G37">
        <v>332</v>
      </c>
      <c r="H37">
        <v>93.321600000000004</v>
      </c>
      <c r="I37" s="7">
        <f t="shared" si="2"/>
        <v>0.93867924528301883</v>
      </c>
      <c r="J37" s="7">
        <f t="shared" si="1"/>
        <v>0.8883928571428571</v>
      </c>
    </row>
    <row r="38" spans="1:10">
      <c r="I38" s="7"/>
      <c r="J38" s="7"/>
    </row>
    <row r="39" spans="1:10">
      <c r="I39" s="7"/>
      <c r="J39" s="7"/>
    </row>
    <row r="40" spans="1:10">
      <c r="I40" s="7"/>
      <c r="J40" s="7"/>
    </row>
    <row r="41" spans="1:10">
      <c r="I41" s="7"/>
      <c r="J41" s="7"/>
    </row>
    <row r="42" spans="1:10">
      <c r="I42" s="7"/>
      <c r="J42" s="7"/>
    </row>
    <row r="43" spans="1:10">
      <c r="I43" s="7"/>
      <c r="J43" s="7"/>
    </row>
    <row r="44" spans="1:10">
      <c r="I44" s="7"/>
      <c r="J44" s="7"/>
    </row>
    <row r="45" spans="1:10">
      <c r="I45" s="7"/>
      <c r="J45" s="7"/>
    </row>
    <row r="46" spans="1:10">
      <c r="I46" s="7"/>
      <c r="J46" s="7"/>
    </row>
    <row r="47" spans="1:10">
      <c r="I47" s="7"/>
      <c r="J47" s="7"/>
    </row>
  </sheetData>
  <pageMargins left="0.7" right="0.7" top="0.78740157499999996" bottom="0.78740157499999996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5EDC-AA80-4204-9F9A-7ADA4AB6DE37}">
  <sheetPr>
    <tabColor theme="3" tint="0.749992370372631"/>
  </sheetPr>
  <dimension ref="A1:K46"/>
  <sheetViews>
    <sheetView workbookViewId="0">
      <selection activeCell="H33" sqref="H33"/>
    </sheetView>
  </sheetViews>
  <sheetFormatPr defaultColWidth="11.42578125" defaultRowHeight="15"/>
  <cols>
    <col min="9" max="9" width="11.5703125" style="4"/>
  </cols>
  <sheetData>
    <row r="1" spans="1:1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</v>
      </c>
      <c r="H1" s="2" t="s">
        <v>278</v>
      </c>
      <c r="I1" s="18" t="s">
        <v>6</v>
      </c>
      <c r="J1" t="s">
        <v>279</v>
      </c>
      <c r="K1" t="s">
        <v>280</v>
      </c>
    </row>
    <row r="2" spans="1:11">
      <c r="B2">
        <v>1</v>
      </c>
      <c r="C2">
        <v>1</v>
      </c>
      <c r="E2">
        <v>14</v>
      </c>
      <c r="F2">
        <v>14</v>
      </c>
      <c r="G2">
        <v>198</v>
      </c>
      <c r="H2">
        <v>343</v>
      </c>
      <c r="I2" s="7">
        <v>0.95079100000000005</v>
      </c>
      <c r="J2" s="7">
        <f>G2/(G2+E2)</f>
        <v>0.93396226415094341</v>
      </c>
      <c r="K2" s="7">
        <f t="shared" ref="K2" si="0">G2/(G2+F2)</f>
        <v>0.93396226415094341</v>
      </c>
    </row>
    <row r="3" spans="1:11">
      <c r="B3">
        <v>2</v>
      </c>
      <c r="E3">
        <v>12</v>
      </c>
      <c r="F3">
        <v>17</v>
      </c>
      <c r="G3">
        <v>200</v>
      </c>
      <c r="H3">
        <v>340</v>
      </c>
      <c r="I3" s="7">
        <v>0.94903300000000002</v>
      </c>
      <c r="J3" s="7">
        <f t="shared" ref="J3:J11" si="1">G3/(G3+E3)</f>
        <v>0.94339622641509435</v>
      </c>
      <c r="K3" s="7">
        <f t="shared" ref="K3:K11" si="2">G3/(G3+F3)</f>
        <v>0.92165898617511521</v>
      </c>
    </row>
    <row r="4" spans="1:11">
      <c r="B4">
        <v>3</v>
      </c>
      <c r="E4">
        <v>13</v>
      </c>
      <c r="F4">
        <v>17</v>
      </c>
      <c r="G4">
        <v>199</v>
      </c>
      <c r="H4">
        <v>340</v>
      </c>
      <c r="I4" s="7">
        <v>0.94727600000000001</v>
      </c>
      <c r="J4" s="7">
        <f t="shared" si="1"/>
        <v>0.93867924528301883</v>
      </c>
      <c r="K4" s="7">
        <f t="shared" si="2"/>
        <v>0.92129629629629628</v>
      </c>
    </row>
    <row r="5" spans="1:11">
      <c r="B5">
        <v>4</v>
      </c>
      <c r="E5">
        <v>13</v>
      </c>
      <c r="F5">
        <v>16</v>
      </c>
      <c r="G5">
        <v>199</v>
      </c>
      <c r="H5">
        <v>341</v>
      </c>
      <c r="I5" s="7">
        <v>0.94903300000000002</v>
      </c>
      <c r="J5" s="7">
        <f t="shared" si="1"/>
        <v>0.93867924528301883</v>
      </c>
      <c r="K5" s="7">
        <f t="shared" si="2"/>
        <v>0.92558139534883721</v>
      </c>
    </row>
    <row r="6" spans="1:11">
      <c r="B6">
        <v>5</v>
      </c>
      <c r="E6">
        <v>11</v>
      </c>
      <c r="F6">
        <v>18</v>
      </c>
      <c r="G6">
        <v>201</v>
      </c>
      <c r="H6">
        <v>339</v>
      </c>
      <c r="I6" s="7">
        <v>0.94903300000000002</v>
      </c>
      <c r="J6" s="7">
        <f t="shared" si="1"/>
        <v>0.94811320754716977</v>
      </c>
      <c r="K6" s="7">
        <f t="shared" si="2"/>
        <v>0.9178082191780822</v>
      </c>
    </row>
    <row r="7" spans="1:11">
      <c r="B7">
        <v>6</v>
      </c>
      <c r="E7">
        <v>11</v>
      </c>
      <c r="F7">
        <v>17</v>
      </c>
      <c r="G7">
        <v>201</v>
      </c>
      <c r="H7">
        <v>340</v>
      </c>
      <c r="I7" s="7">
        <v>0.95079100000000005</v>
      </c>
      <c r="J7" s="7">
        <f t="shared" si="1"/>
        <v>0.94811320754716977</v>
      </c>
      <c r="K7" s="7">
        <f t="shared" si="2"/>
        <v>0.92201834862385323</v>
      </c>
    </row>
    <row r="8" spans="1:11">
      <c r="B8">
        <v>7</v>
      </c>
      <c r="E8">
        <v>12</v>
      </c>
      <c r="F8">
        <v>19</v>
      </c>
      <c r="G8">
        <v>200</v>
      </c>
      <c r="H8">
        <v>338</v>
      </c>
      <c r="I8" s="7">
        <v>0.94551799999999997</v>
      </c>
      <c r="J8" s="7">
        <f t="shared" si="1"/>
        <v>0.94339622641509435</v>
      </c>
      <c r="K8" s="7">
        <f t="shared" si="2"/>
        <v>0.91324200913242004</v>
      </c>
    </row>
    <row r="9" spans="1:11">
      <c r="B9">
        <v>8</v>
      </c>
      <c r="E9">
        <v>11</v>
      </c>
      <c r="F9">
        <v>20</v>
      </c>
      <c r="G9">
        <v>201</v>
      </c>
      <c r="H9">
        <v>337</v>
      </c>
      <c r="I9" s="7">
        <v>0.94551799999999997</v>
      </c>
      <c r="J9" s="7">
        <f t="shared" si="1"/>
        <v>0.94811320754716977</v>
      </c>
      <c r="K9" s="7">
        <f t="shared" si="2"/>
        <v>0.9095022624434389</v>
      </c>
    </row>
    <row r="10" spans="1:11">
      <c r="A10" s="8"/>
      <c r="B10">
        <v>9</v>
      </c>
      <c r="E10">
        <v>13</v>
      </c>
      <c r="F10">
        <v>19</v>
      </c>
      <c r="G10">
        <v>199</v>
      </c>
      <c r="H10">
        <v>338</v>
      </c>
      <c r="I10" s="7">
        <v>0.94376099999999996</v>
      </c>
      <c r="J10" s="7">
        <f t="shared" si="1"/>
        <v>0.93867924528301883</v>
      </c>
      <c r="K10" s="7">
        <f t="shared" si="2"/>
        <v>0.91284403669724767</v>
      </c>
    </row>
    <row r="11" spans="1:11">
      <c r="B11">
        <v>10</v>
      </c>
      <c r="E11">
        <v>12</v>
      </c>
      <c r="F11">
        <v>19</v>
      </c>
      <c r="G11">
        <v>200</v>
      </c>
      <c r="H11">
        <v>338</v>
      </c>
      <c r="I11" s="7">
        <v>0.94551799999999997</v>
      </c>
      <c r="J11" s="7">
        <f t="shared" si="1"/>
        <v>0.94339622641509435</v>
      </c>
      <c r="K11" s="7">
        <f t="shared" si="2"/>
        <v>0.91324200913242004</v>
      </c>
    </row>
    <row r="12" spans="1:11">
      <c r="B12">
        <v>11</v>
      </c>
      <c r="E12">
        <v>12</v>
      </c>
      <c r="F12">
        <v>19</v>
      </c>
      <c r="G12">
        <v>200</v>
      </c>
      <c r="H12">
        <v>338</v>
      </c>
      <c r="I12" s="7">
        <v>0.94551799999999997</v>
      </c>
      <c r="J12" s="7">
        <f t="shared" ref="J12:J16" si="3">G12/(G12+E12)</f>
        <v>0.94339622641509435</v>
      </c>
      <c r="K12" s="7">
        <f t="shared" ref="K12:K16" si="4">G12/(G12+F12)</f>
        <v>0.91324200913242004</v>
      </c>
    </row>
    <row r="13" spans="1:11">
      <c r="B13">
        <v>12</v>
      </c>
      <c r="E13">
        <v>12</v>
      </c>
      <c r="F13">
        <v>22</v>
      </c>
      <c r="G13">
        <v>200</v>
      </c>
      <c r="H13">
        <v>335</v>
      </c>
      <c r="I13" s="7">
        <v>0.94024600000000003</v>
      </c>
      <c r="J13" s="7">
        <f t="shared" si="3"/>
        <v>0.94339622641509435</v>
      </c>
      <c r="K13" s="7">
        <f t="shared" si="4"/>
        <v>0.90090090090090091</v>
      </c>
    </row>
    <row r="14" spans="1:11">
      <c r="B14">
        <v>13</v>
      </c>
      <c r="E14">
        <v>12</v>
      </c>
      <c r="F14">
        <v>22</v>
      </c>
      <c r="G14">
        <v>200</v>
      </c>
      <c r="H14">
        <v>335</v>
      </c>
      <c r="I14" s="7">
        <v>0.94024600000000003</v>
      </c>
      <c r="J14" s="7">
        <f t="shared" si="3"/>
        <v>0.94339622641509435</v>
      </c>
      <c r="K14" s="7">
        <f t="shared" si="4"/>
        <v>0.90090090090090091</v>
      </c>
    </row>
    <row r="15" spans="1:11">
      <c r="B15" s="3">
        <v>14</v>
      </c>
      <c r="C15" s="3"/>
      <c r="D15" s="3"/>
      <c r="E15" s="3">
        <v>13</v>
      </c>
      <c r="F15" s="3">
        <v>26</v>
      </c>
      <c r="G15" s="3">
        <v>199</v>
      </c>
      <c r="H15" s="3">
        <v>331</v>
      </c>
      <c r="I15" s="10">
        <v>0.93145900000000004</v>
      </c>
      <c r="J15" s="10">
        <f t="shared" si="3"/>
        <v>0.93867924528301883</v>
      </c>
      <c r="K15" s="10">
        <f t="shared" si="4"/>
        <v>0.88444444444444448</v>
      </c>
    </row>
    <row r="16" spans="1:11">
      <c r="B16">
        <v>15</v>
      </c>
      <c r="E16">
        <v>12</v>
      </c>
      <c r="F16">
        <v>27</v>
      </c>
      <c r="G16">
        <v>200</v>
      </c>
      <c r="H16">
        <v>330</v>
      </c>
      <c r="I16" s="7">
        <v>0.93145900000000004</v>
      </c>
      <c r="J16" s="7">
        <f t="shared" si="3"/>
        <v>0.94339622641509435</v>
      </c>
      <c r="K16" s="7">
        <f t="shared" si="4"/>
        <v>0.88105726872246692</v>
      </c>
    </row>
    <row r="17" spans="2:11">
      <c r="I17" s="7"/>
      <c r="J17" s="7"/>
      <c r="K17" s="7"/>
    </row>
    <row r="18" spans="2:11">
      <c r="B18">
        <v>394</v>
      </c>
      <c r="E18">
        <v>2</v>
      </c>
      <c r="F18">
        <v>331</v>
      </c>
      <c r="G18">
        <v>210</v>
      </c>
      <c r="H18">
        <v>26</v>
      </c>
      <c r="I18" s="7">
        <v>0.41476299999999999</v>
      </c>
      <c r="J18" s="7">
        <f t="shared" ref="J18:J23" si="5">G18/(G18+E18)</f>
        <v>0.99056603773584906</v>
      </c>
      <c r="K18" s="7">
        <f t="shared" ref="K18:K23" si="6">G18/(G18+F18)</f>
        <v>0.38817005545286504</v>
      </c>
    </row>
    <row r="19" spans="2:11">
      <c r="B19">
        <v>395</v>
      </c>
      <c r="E19">
        <v>2</v>
      </c>
      <c r="F19">
        <v>331</v>
      </c>
      <c r="G19">
        <v>210</v>
      </c>
      <c r="H19">
        <v>26</v>
      </c>
      <c r="I19" s="7">
        <v>0.41476299999999999</v>
      </c>
      <c r="J19" s="7">
        <f t="shared" si="5"/>
        <v>0.99056603773584906</v>
      </c>
      <c r="K19" s="7">
        <f t="shared" si="6"/>
        <v>0.38817005545286504</v>
      </c>
    </row>
    <row r="20" spans="2:11">
      <c r="B20" s="3">
        <v>395.25709999999998</v>
      </c>
      <c r="C20" s="3"/>
      <c r="D20" s="3"/>
      <c r="E20" s="3">
        <v>2</v>
      </c>
      <c r="F20" s="3">
        <v>331</v>
      </c>
      <c r="G20" s="3">
        <v>210</v>
      </c>
      <c r="H20" s="3">
        <v>26</v>
      </c>
      <c r="I20" s="10">
        <v>0.41476299999999999</v>
      </c>
      <c r="J20" s="10">
        <f t="shared" si="5"/>
        <v>0.99056603773584906</v>
      </c>
      <c r="K20" s="10">
        <f t="shared" si="6"/>
        <v>0.38817005545286504</v>
      </c>
    </row>
    <row r="21" spans="2:11">
      <c r="B21" s="3">
        <v>395.25720000000001</v>
      </c>
      <c r="C21" s="3"/>
      <c r="D21" s="3"/>
      <c r="E21" s="3">
        <v>0</v>
      </c>
      <c r="F21" s="3">
        <v>357</v>
      </c>
      <c r="G21" s="3">
        <v>212</v>
      </c>
      <c r="H21" s="3">
        <v>0</v>
      </c>
      <c r="I21" s="10">
        <v>0.372583</v>
      </c>
      <c r="J21" s="10">
        <f t="shared" si="5"/>
        <v>1</v>
      </c>
      <c r="K21" s="10">
        <f t="shared" si="6"/>
        <v>0.37258347978910367</v>
      </c>
    </row>
    <row r="22" spans="2:11">
      <c r="B22">
        <v>396</v>
      </c>
      <c r="E22">
        <v>0</v>
      </c>
      <c r="F22">
        <v>357</v>
      </c>
      <c r="G22">
        <v>212</v>
      </c>
      <c r="H22">
        <v>0</v>
      </c>
      <c r="I22" s="7">
        <v>0.372583</v>
      </c>
      <c r="J22" s="7">
        <f t="shared" si="5"/>
        <v>1</v>
      </c>
      <c r="K22" s="7">
        <f t="shared" si="6"/>
        <v>0.37258347978910367</v>
      </c>
    </row>
    <row r="23" spans="2:11">
      <c r="B23">
        <v>397</v>
      </c>
      <c r="E23">
        <v>0</v>
      </c>
      <c r="F23">
        <v>357</v>
      </c>
      <c r="G23">
        <v>212</v>
      </c>
      <c r="H23">
        <v>0</v>
      </c>
      <c r="I23" s="7">
        <v>0.372583</v>
      </c>
      <c r="J23" s="7">
        <f t="shared" si="5"/>
        <v>1</v>
      </c>
      <c r="K23" s="7">
        <f t="shared" si="6"/>
        <v>0.37258347978910367</v>
      </c>
    </row>
    <row r="24" spans="2:11">
      <c r="J24" s="7"/>
      <c r="K24" s="7"/>
    </row>
    <row r="25" spans="2:11">
      <c r="J25" s="7"/>
      <c r="K25" s="7"/>
    </row>
    <row r="26" spans="2:11">
      <c r="J26" s="7"/>
      <c r="K26" s="7"/>
    </row>
    <row r="27" spans="2:11">
      <c r="J27" s="7"/>
      <c r="K27" s="7"/>
    </row>
    <row r="28" spans="2:11">
      <c r="B28" s="11"/>
      <c r="J28" s="7"/>
      <c r="K28" s="7"/>
    </row>
    <row r="29" spans="2:11">
      <c r="B29" s="11"/>
      <c r="J29" s="7"/>
      <c r="K29" s="7"/>
    </row>
    <row r="30" spans="2:11">
      <c r="B30" s="11"/>
      <c r="J30" s="7"/>
      <c r="K30" s="7"/>
    </row>
    <row r="31" spans="2:11">
      <c r="B31" s="11"/>
      <c r="J31" s="7"/>
      <c r="K31" s="7"/>
    </row>
    <row r="32" spans="2:11">
      <c r="B32" s="11"/>
      <c r="J32" s="7"/>
      <c r="K32" s="7"/>
    </row>
    <row r="33" spans="2:11">
      <c r="B33" s="11"/>
      <c r="J33" s="7"/>
      <c r="K33" s="7"/>
    </row>
    <row r="34" spans="2:11">
      <c r="B34" s="11"/>
      <c r="J34" s="7"/>
      <c r="K34" s="7"/>
    </row>
    <row r="35" spans="2:11">
      <c r="B35" s="11"/>
      <c r="J35" s="7"/>
      <c r="K35" s="7"/>
    </row>
    <row r="36" spans="2:11">
      <c r="B36" s="11"/>
      <c r="J36" s="7"/>
      <c r="K36" s="7"/>
    </row>
    <row r="37" spans="2:11">
      <c r="B37" s="11"/>
      <c r="J37" s="7"/>
      <c r="K37" s="7"/>
    </row>
    <row r="38" spans="2:11">
      <c r="B38" s="11"/>
      <c r="J38" s="7"/>
      <c r="K38" s="7"/>
    </row>
    <row r="39" spans="2:11">
      <c r="B39" s="11"/>
      <c r="J39" s="7"/>
      <c r="K39" s="7"/>
    </row>
    <row r="40" spans="2:11">
      <c r="B40" s="11"/>
      <c r="J40" s="7"/>
      <c r="K40" s="7"/>
    </row>
    <row r="41" spans="2:11">
      <c r="B41" s="11"/>
      <c r="J41" s="7"/>
      <c r="K41" s="7"/>
    </row>
    <row r="42" spans="2:11">
      <c r="B42" s="11"/>
      <c r="J42" s="7"/>
      <c r="K42" s="7"/>
    </row>
    <row r="43" spans="2:11">
      <c r="B43" s="11"/>
      <c r="J43" s="7"/>
      <c r="K43" s="7"/>
    </row>
    <row r="44" spans="2:11">
      <c r="B44" s="11"/>
      <c r="J44" s="7"/>
      <c r="K44" s="7"/>
    </row>
    <row r="45" spans="2:11">
      <c r="B45" s="11"/>
      <c r="J45" s="7"/>
      <c r="K45" s="7"/>
    </row>
    <row r="46" spans="2:11">
      <c r="B46" s="11"/>
      <c r="J46" s="7"/>
      <c r="K46" s="7"/>
    </row>
  </sheetData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C322-C54A-4D58-A8A2-4ED25812C0AD}">
  <sheetPr>
    <tabColor theme="5" tint="0.59999389629810485"/>
  </sheetPr>
  <dimension ref="A1:J24"/>
  <sheetViews>
    <sheetView workbookViewId="0">
      <selection activeCell="D2" sqref="D2:D24"/>
    </sheetView>
  </sheetViews>
  <sheetFormatPr defaultColWidth="11.42578125" defaultRowHeight="15"/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277</v>
      </c>
      <c r="G1" s="2" t="s">
        <v>278</v>
      </c>
      <c r="H1" s="2" t="s">
        <v>6</v>
      </c>
      <c r="I1" t="s">
        <v>279</v>
      </c>
      <c r="J1" t="s">
        <v>280</v>
      </c>
    </row>
    <row r="2" spans="1:10" s="3" customFormat="1">
      <c r="A2" s="3">
        <v>1</v>
      </c>
      <c r="B2" s="3">
        <v>1</v>
      </c>
      <c r="D2" s="3">
        <v>28</v>
      </c>
      <c r="E2" s="3">
        <v>28</v>
      </c>
      <c r="F2" s="3">
        <v>184</v>
      </c>
      <c r="G2" s="3">
        <v>329</v>
      </c>
      <c r="H2" s="5">
        <v>90.158199999999994</v>
      </c>
      <c r="I2" s="10">
        <f t="shared" ref="I2" si="0">F2/(F2+D2)</f>
        <v>0.86792452830188682</v>
      </c>
      <c r="J2" s="10">
        <f t="shared" ref="J2:J15" si="1">F2/(F2+E2)</f>
        <v>0.86792452830188682</v>
      </c>
    </row>
    <row r="3" spans="1:10">
      <c r="A3">
        <v>2</v>
      </c>
      <c r="D3">
        <v>26</v>
      </c>
      <c r="E3">
        <v>39</v>
      </c>
      <c r="F3">
        <v>186</v>
      </c>
      <c r="G3">
        <v>318</v>
      </c>
      <c r="H3">
        <v>88.576400000000007</v>
      </c>
      <c r="I3" s="7">
        <f t="shared" ref="I3:I15" si="2">F3/(F3+D3)</f>
        <v>0.87735849056603776</v>
      </c>
      <c r="J3" s="7">
        <f t="shared" si="1"/>
        <v>0.82666666666666666</v>
      </c>
    </row>
    <row r="4" spans="1:10">
      <c r="A4">
        <v>3</v>
      </c>
      <c r="D4">
        <v>21</v>
      </c>
      <c r="E4">
        <v>41</v>
      </c>
      <c r="F4">
        <v>191</v>
      </c>
      <c r="G4">
        <v>316</v>
      </c>
      <c r="H4">
        <v>89.103700000000003</v>
      </c>
      <c r="I4" s="7">
        <f t="shared" si="2"/>
        <v>0.90094339622641506</v>
      </c>
      <c r="J4" s="7">
        <f t="shared" si="1"/>
        <v>0.82327586206896552</v>
      </c>
    </row>
    <row r="5" spans="1:10">
      <c r="A5">
        <v>4</v>
      </c>
      <c r="D5">
        <v>15</v>
      </c>
      <c r="E5">
        <v>60</v>
      </c>
      <c r="F5">
        <v>197</v>
      </c>
      <c r="G5">
        <v>297</v>
      </c>
      <c r="H5">
        <v>86.819000000000003</v>
      </c>
      <c r="I5" s="7">
        <f t="shared" si="2"/>
        <v>0.92924528301886788</v>
      </c>
      <c r="J5" s="7">
        <f t="shared" si="1"/>
        <v>0.7665369649805448</v>
      </c>
    </row>
    <row r="6" spans="1:10">
      <c r="A6">
        <v>5</v>
      </c>
      <c r="D6">
        <v>14</v>
      </c>
      <c r="E6">
        <v>67</v>
      </c>
      <c r="F6">
        <v>198</v>
      </c>
      <c r="G6">
        <v>290</v>
      </c>
      <c r="H6">
        <v>85.764499999999998</v>
      </c>
      <c r="I6" s="7">
        <f t="shared" si="2"/>
        <v>0.93396226415094341</v>
      </c>
      <c r="J6" s="7">
        <f t="shared" si="1"/>
        <v>0.74716981132075466</v>
      </c>
    </row>
    <row r="7" spans="1:10">
      <c r="A7">
        <v>6</v>
      </c>
      <c r="D7">
        <v>11</v>
      </c>
      <c r="E7">
        <v>68</v>
      </c>
      <c r="F7">
        <v>201</v>
      </c>
      <c r="G7">
        <v>289</v>
      </c>
      <c r="H7">
        <v>86.116</v>
      </c>
      <c r="I7" s="7">
        <f t="shared" si="2"/>
        <v>0.94811320754716977</v>
      </c>
      <c r="J7" s="7">
        <f t="shared" si="1"/>
        <v>0.74721189591078063</v>
      </c>
    </row>
    <row r="8" spans="1:10">
      <c r="A8">
        <v>7</v>
      </c>
      <c r="D8">
        <v>9</v>
      </c>
      <c r="E8">
        <v>84</v>
      </c>
      <c r="F8">
        <v>203</v>
      </c>
      <c r="G8">
        <v>273</v>
      </c>
      <c r="H8">
        <v>83.655500000000004</v>
      </c>
      <c r="I8" s="7">
        <f t="shared" si="2"/>
        <v>0.95754716981132071</v>
      </c>
      <c r="J8" s="7">
        <f t="shared" si="1"/>
        <v>0.70731707317073167</v>
      </c>
    </row>
    <row r="9" spans="1:10">
      <c r="A9">
        <v>8</v>
      </c>
      <c r="D9">
        <v>8</v>
      </c>
      <c r="E9">
        <v>89</v>
      </c>
      <c r="F9">
        <v>204</v>
      </c>
      <c r="G9">
        <v>268</v>
      </c>
      <c r="H9">
        <v>82.952500000000001</v>
      </c>
      <c r="I9" s="7">
        <f t="shared" si="2"/>
        <v>0.96226415094339623</v>
      </c>
      <c r="J9" s="7">
        <f t="shared" si="1"/>
        <v>0.69624573378839594</v>
      </c>
    </row>
    <row r="10" spans="1:10">
      <c r="A10">
        <v>9</v>
      </c>
      <c r="D10">
        <v>11</v>
      </c>
      <c r="E10">
        <v>89</v>
      </c>
      <c r="F10">
        <v>201</v>
      </c>
      <c r="G10">
        <v>268</v>
      </c>
      <c r="H10">
        <v>82.425299999999993</v>
      </c>
      <c r="I10" s="7">
        <f t="shared" si="2"/>
        <v>0.94811320754716977</v>
      </c>
      <c r="J10" s="7">
        <f t="shared" si="1"/>
        <v>0.69310344827586212</v>
      </c>
    </row>
    <row r="11" spans="1:10">
      <c r="A11">
        <v>10</v>
      </c>
      <c r="D11">
        <v>11</v>
      </c>
      <c r="E11">
        <v>89</v>
      </c>
      <c r="F11">
        <v>201</v>
      </c>
      <c r="G11">
        <v>268</v>
      </c>
      <c r="H11">
        <v>82.425299999999993</v>
      </c>
      <c r="I11" s="7">
        <f t="shared" si="2"/>
        <v>0.94811320754716977</v>
      </c>
      <c r="J11" s="7">
        <f t="shared" si="1"/>
        <v>0.69310344827586212</v>
      </c>
    </row>
    <row r="12" spans="1:10">
      <c r="A12">
        <v>15</v>
      </c>
      <c r="D12">
        <v>9</v>
      </c>
      <c r="E12">
        <v>118</v>
      </c>
      <c r="F12">
        <v>203</v>
      </c>
      <c r="G12">
        <v>239</v>
      </c>
      <c r="H12">
        <v>77.680099999999996</v>
      </c>
      <c r="I12" s="7">
        <f t="shared" si="2"/>
        <v>0.95754716981132071</v>
      </c>
      <c r="J12" s="7">
        <f t="shared" si="1"/>
        <v>0.63239875389408096</v>
      </c>
    </row>
    <row r="13" spans="1:10">
      <c r="A13">
        <v>20</v>
      </c>
      <c r="D13">
        <v>7</v>
      </c>
      <c r="E13">
        <v>139</v>
      </c>
      <c r="F13">
        <v>205</v>
      </c>
      <c r="G13">
        <v>218</v>
      </c>
      <c r="H13">
        <v>74.340900000000005</v>
      </c>
      <c r="I13" s="7">
        <f t="shared" si="2"/>
        <v>0.96698113207547165</v>
      </c>
      <c r="J13" s="7">
        <f t="shared" si="1"/>
        <v>0.59593023255813948</v>
      </c>
    </row>
    <row r="14" spans="1:10">
      <c r="A14">
        <v>25</v>
      </c>
      <c r="D14">
        <v>6</v>
      </c>
      <c r="E14">
        <v>162</v>
      </c>
      <c r="F14">
        <v>206</v>
      </c>
      <c r="G14">
        <v>195</v>
      </c>
      <c r="H14">
        <v>70.474500000000006</v>
      </c>
      <c r="I14" s="7">
        <f t="shared" si="2"/>
        <v>0.97169811320754718</v>
      </c>
      <c r="J14" s="7">
        <f t="shared" si="1"/>
        <v>0.55978260869565222</v>
      </c>
    </row>
    <row r="15" spans="1:10">
      <c r="A15">
        <v>30</v>
      </c>
      <c r="D15">
        <v>7</v>
      </c>
      <c r="E15">
        <v>170</v>
      </c>
      <c r="F15">
        <v>205</v>
      </c>
      <c r="G15">
        <v>187</v>
      </c>
      <c r="H15">
        <v>68.892799999999994</v>
      </c>
      <c r="I15" s="7">
        <f t="shared" si="2"/>
        <v>0.96698113207547165</v>
      </c>
      <c r="J15" s="7">
        <f t="shared" si="1"/>
        <v>0.54666666666666663</v>
      </c>
    </row>
    <row r="16" spans="1:10">
      <c r="A16">
        <v>40</v>
      </c>
      <c r="D16">
        <v>7</v>
      </c>
      <c r="E16">
        <v>208</v>
      </c>
      <c r="F16">
        <v>205</v>
      </c>
      <c r="G16">
        <v>149</v>
      </c>
      <c r="H16">
        <v>62.214399999999998</v>
      </c>
      <c r="I16" s="7">
        <f>F15/(F15+D15)</f>
        <v>0.96698113207547165</v>
      </c>
      <c r="J16" s="7">
        <f>F15/(F15+E15)</f>
        <v>0.54666666666666663</v>
      </c>
    </row>
    <row r="17" spans="1:10">
      <c r="A17">
        <v>50</v>
      </c>
      <c r="D17">
        <v>5</v>
      </c>
      <c r="E17">
        <v>201</v>
      </c>
      <c r="F17">
        <v>207</v>
      </c>
      <c r="G17">
        <v>156</v>
      </c>
      <c r="H17">
        <v>63.796100000000003</v>
      </c>
      <c r="I17" s="7">
        <f t="shared" ref="I17:I24" si="3">F17/(F17+D17)</f>
        <v>0.97641509433962259</v>
      </c>
      <c r="J17" s="7">
        <f t="shared" ref="J17:J24" si="4">F17/(F17+E17)</f>
        <v>0.50735294117647056</v>
      </c>
    </row>
    <row r="18" spans="1:10">
      <c r="A18">
        <v>70</v>
      </c>
      <c r="D18">
        <v>4</v>
      </c>
      <c r="E18">
        <v>232</v>
      </c>
      <c r="F18">
        <v>208</v>
      </c>
      <c r="G18">
        <v>125</v>
      </c>
      <c r="H18">
        <v>58.523699999999998</v>
      </c>
      <c r="I18" s="7">
        <f t="shared" si="3"/>
        <v>0.98113207547169812</v>
      </c>
      <c r="J18" s="7">
        <f t="shared" si="4"/>
        <v>0.47272727272727272</v>
      </c>
    </row>
    <row r="19" spans="1:10">
      <c r="A19">
        <v>95</v>
      </c>
      <c r="D19">
        <v>1</v>
      </c>
      <c r="E19">
        <v>284</v>
      </c>
      <c r="F19">
        <v>211</v>
      </c>
      <c r="G19">
        <v>73</v>
      </c>
      <c r="H19">
        <v>49.912100000000002</v>
      </c>
      <c r="I19" s="7">
        <f t="shared" si="3"/>
        <v>0.99528301886792447</v>
      </c>
      <c r="J19" s="7">
        <f t="shared" si="4"/>
        <v>0.42626262626262629</v>
      </c>
    </row>
    <row r="20" spans="1:10">
      <c r="A20">
        <v>96</v>
      </c>
      <c r="D20">
        <v>1</v>
      </c>
      <c r="E20">
        <v>284</v>
      </c>
      <c r="F20">
        <v>211</v>
      </c>
      <c r="G20">
        <v>73</v>
      </c>
      <c r="H20">
        <v>49.912100000000002</v>
      </c>
      <c r="I20" s="7">
        <f t="shared" si="3"/>
        <v>0.99528301886792447</v>
      </c>
      <c r="J20" s="7">
        <f t="shared" si="4"/>
        <v>0.42626262626262629</v>
      </c>
    </row>
    <row r="21" spans="1:10">
      <c r="A21">
        <v>97</v>
      </c>
      <c r="D21">
        <v>1</v>
      </c>
      <c r="E21">
        <v>284</v>
      </c>
      <c r="F21">
        <v>211</v>
      </c>
      <c r="G21">
        <v>73</v>
      </c>
      <c r="H21">
        <v>49.912100000000002</v>
      </c>
      <c r="I21" s="7">
        <f t="shared" si="3"/>
        <v>0.99528301886792447</v>
      </c>
      <c r="J21" s="7">
        <f t="shared" si="4"/>
        <v>0.42626262626262629</v>
      </c>
    </row>
    <row r="22" spans="1:10">
      <c r="A22">
        <v>97.5</v>
      </c>
      <c r="D22">
        <v>1</v>
      </c>
      <c r="E22">
        <v>284</v>
      </c>
      <c r="F22">
        <v>211</v>
      </c>
      <c r="G22">
        <v>73</v>
      </c>
      <c r="H22">
        <v>49.912100000000002</v>
      </c>
      <c r="I22" s="7">
        <f t="shared" si="3"/>
        <v>0.99528301886792447</v>
      </c>
      <c r="J22" s="7">
        <f t="shared" si="4"/>
        <v>0.42626262626262629</v>
      </c>
    </row>
    <row r="23" spans="1:10">
      <c r="A23">
        <v>97.75</v>
      </c>
      <c r="D23">
        <v>0</v>
      </c>
      <c r="E23">
        <v>307</v>
      </c>
      <c r="F23">
        <v>212</v>
      </c>
      <c r="G23">
        <v>50</v>
      </c>
      <c r="H23">
        <v>46.045699999999997</v>
      </c>
      <c r="I23" s="7">
        <f t="shared" si="3"/>
        <v>1</v>
      </c>
      <c r="J23" s="7">
        <f t="shared" si="4"/>
        <v>0.40847784200385356</v>
      </c>
    </row>
    <row r="24" spans="1:10">
      <c r="A24">
        <v>98</v>
      </c>
      <c r="D24">
        <v>0</v>
      </c>
      <c r="E24">
        <v>307</v>
      </c>
      <c r="F24">
        <v>212</v>
      </c>
      <c r="G24">
        <v>50</v>
      </c>
      <c r="H24">
        <v>46.045699999999997</v>
      </c>
      <c r="I24" s="7">
        <f t="shared" si="3"/>
        <v>1</v>
      </c>
      <c r="J24" s="7">
        <f t="shared" si="4"/>
        <v>0.40847784200385356</v>
      </c>
    </row>
  </sheetData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A4D2-861E-48DD-8A41-DFF4F07372E7}">
  <sheetPr>
    <tabColor theme="0" tint="-0.14999847407452621"/>
  </sheetPr>
  <dimension ref="A1:K57"/>
  <sheetViews>
    <sheetView zoomScale="70" zoomScaleNormal="70" workbookViewId="0">
      <selection activeCell="E2" sqref="E2:E29"/>
    </sheetView>
  </sheetViews>
  <sheetFormatPr defaultColWidth="11.42578125" defaultRowHeight="15"/>
  <cols>
    <col min="1" max="1" width="32.7109375" customWidth="1"/>
    <col min="4" max="4" width="12.85546875" customWidth="1"/>
    <col min="9" max="9" width="11.42578125" style="4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</v>
      </c>
      <c r="H1" s="2" t="s">
        <v>278</v>
      </c>
      <c r="I1" s="18" t="s">
        <v>6</v>
      </c>
      <c r="J1" t="s">
        <v>279</v>
      </c>
      <c r="K1" t="s">
        <v>280</v>
      </c>
    </row>
    <row r="2" spans="1:11">
      <c r="B2">
        <v>1</v>
      </c>
      <c r="C2">
        <v>1</v>
      </c>
      <c r="E2">
        <v>11</v>
      </c>
      <c r="F2">
        <v>5</v>
      </c>
      <c r="G2">
        <v>201</v>
      </c>
      <c r="H2">
        <v>352</v>
      </c>
      <c r="I2" s="4">
        <v>0.97187999999999997</v>
      </c>
      <c r="J2" s="7">
        <f>G2/(G2+E2)</f>
        <v>0.94811320754716977</v>
      </c>
      <c r="K2" s="7">
        <f t="shared" ref="K2" si="0">G2/(G2+F2)</f>
        <v>0.97572815533980584</v>
      </c>
    </row>
    <row r="3" spans="1:11">
      <c r="B3">
        <v>2</v>
      </c>
      <c r="E3">
        <v>6</v>
      </c>
      <c r="F3">
        <v>10</v>
      </c>
      <c r="G3">
        <v>206</v>
      </c>
      <c r="H3">
        <v>347</v>
      </c>
      <c r="I3" s="4">
        <v>0.97187999999999997</v>
      </c>
      <c r="J3" s="7">
        <f t="shared" ref="J3:J17" si="1">G3/(G3+E3)</f>
        <v>0.97169811320754718</v>
      </c>
      <c r="K3" s="7">
        <f t="shared" ref="K3:K17" si="2">G3/(G3+F3)</f>
        <v>0.95370370370370372</v>
      </c>
    </row>
    <row r="4" spans="1:11">
      <c r="B4">
        <v>3</v>
      </c>
      <c r="E4">
        <v>6</v>
      </c>
      <c r="F4">
        <v>15</v>
      </c>
      <c r="G4">
        <v>206</v>
      </c>
      <c r="H4">
        <v>352</v>
      </c>
      <c r="I4" s="4">
        <v>0.96309299999999998</v>
      </c>
      <c r="J4" s="7">
        <f t="shared" si="1"/>
        <v>0.97169811320754718</v>
      </c>
      <c r="K4" s="7">
        <f t="shared" si="2"/>
        <v>0.9321266968325792</v>
      </c>
    </row>
    <row r="5" spans="1:11">
      <c r="B5">
        <v>4</v>
      </c>
      <c r="E5">
        <v>5</v>
      </c>
      <c r="F5">
        <v>21</v>
      </c>
      <c r="G5">
        <v>207</v>
      </c>
      <c r="H5">
        <v>336</v>
      </c>
      <c r="I5" s="4">
        <v>0.95430599999999999</v>
      </c>
      <c r="J5" s="7">
        <f t="shared" si="1"/>
        <v>0.97641509433962259</v>
      </c>
      <c r="K5" s="7">
        <f t="shared" si="2"/>
        <v>0.90789473684210531</v>
      </c>
    </row>
    <row r="6" spans="1:11">
      <c r="B6">
        <v>5</v>
      </c>
      <c r="E6">
        <v>6</v>
      </c>
      <c r="F6">
        <v>25</v>
      </c>
      <c r="G6">
        <v>206</v>
      </c>
      <c r="H6">
        <v>332</v>
      </c>
      <c r="I6" s="4">
        <v>0.94551799999999997</v>
      </c>
      <c r="J6" s="7">
        <f t="shared" si="1"/>
        <v>0.97169811320754718</v>
      </c>
      <c r="K6" s="7">
        <f t="shared" si="2"/>
        <v>0.89177489177489178</v>
      </c>
    </row>
    <row r="7" spans="1:11">
      <c r="B7">
        <v>6</v>
      </c>
      <c r="E7">
        <v>6</v>
      </c>
      <c r="F7">
        <v>29</v>
      </c>
      <c r="G7">
        <v>206</v>
      </c>
      <c r="H7">
        <v>328</v>
      </c>
      <c r="I7" s="4">
        <v>0.93848900000000002</v>
      </c>
      <c r="J7" s="7">
        <f t="shared" si="1"/>
        <v>0.97169811320754718</v>
      </c>
      <c r="K7" s="7">
        <f t="shared" si="2"/>
        <v>0.87659574468085111</v>
      </c>
    </row>
    <row r="8" spans="1:11">
      <c r="B8">
        <v>7</v>
      </c>
      <c r="E8">
        <v>5</v>
      </c>
      <c r="F8">
        <v>33</v>
      </c>
      <c r="G8">
        <v>207</v>
      </c>
      <c r="H8">
        <v>324</v>
      </c>
      <c r="I8" s="4">
        <v>0.93321600000000005</v>
      </c>
      <c r="J8" s="7">
        <f t="shared" si="1"/>
        <v>0.97641509433962259</v>
      </c>
      <c r="K8" s="7">
        <f t="shared" si="2"/>
        <v>0.86250000000000004</v>
      </c>
    </row>
    <row r="9" spans="1:11">
      <c r="B9">
        <v>8</v>
      </c>
      <c r="E9">
        <v>6</v>
      </c>
      <c r="F9">
        <v>29</v>
      </c>
      <c r="G9">
        <v>206</v>
      </c>
      <c r="H9">
        <v>328</v>
      </c>
      <c r="I9" s="4">
        <v>0.93848900000000002</v>
      </c>
      <c r="J9" s="7">
        <f t="shared" si="1"/>
        <v>0.97169811320754718</v>
      </c>
      <c r="K9" s="7">
        <f t="shared" si="2"/>
        <v>0.87659574468085111</v>
      </c>
    </row>
    <row r="10" spans="1:11">
      <c r="B10">
        <v>9</v>
      </c>
      <c r="E10">
        <v>4</v>
      </c>
      <c r="F10">
        <v>29</v>
      </c>
      <c r="G10">
        <v>208</v>
      </c>
      <c r="H10">
        <v>328</v>
      </c>
      <c r="I10" s="4">
        <v>0.94200399999999995</v>
      </c>
      <c r="J10" s="7">
        <f t="shared" si="1"/>
        <v>0.98113207547169812</v>
      </c>
      <c r="K10" s="7">
        <f t="shared" si="2"/>
        <v>0.87763713080168781</v>
      </c>
    </row>
    <row r="11" spans="1:11">
      <c r="B11" s="3">
        <v>10</v>
      </c>
      <c r="C11" s="3"/>
      <c r="D11" s="3"/>
      <c r="E11" s="3">
        <v>4</v>
      </c>
      <c r="F11" s="3">
        <v>34</v>
      </c>
      <c r="G11" s="3">
        <v>208</v>
      </c>
      <c r="H11" s="3">
        <v>323</v>
      </c>
      <c r="I11" s="5">
        <v>0.93321600000000005</v>
      </c>
      <c r="J11" s="10">
        <f t="shared" si="1"/>
        <v>0.98113207547169812</v>
      </c>
      <c r="K11" s="10">
        <f t="shared" si="2"/>
        <v>0.85950413223140498</v>
      </c>
    </row>
    <row r="12" spans="1:11">
      <c r="B12">
        <v>11</v>
      </c>
      <c r="E12">
        <v>4</v>
      </c>
      <c r="F12">
        <v>36</v>
      </c>
      <c r="G12">
        <v>208</v>
      </c>
      <c r="H12">
        <v>321</v>
      </c>
      <c r="I12" s="4">
        <v>0.929701</v>
      </c>
      <c r="J12" s="7">
        <f t="shared" si="1"/>
        <v>0.98113207547169812</v>
      </c>
      <c r="K12" s="7">
        <f t="shared" si="2"/>
        <v>0.85245901639344257</v>
      </c>
    </row>
    <row r="13" spans="1:11">
      <c r="B13">
        <v>12</v>
      </c>
      <c r="E13">
        <v>3</v>
      </c>
      <c r="F13">
        <v>41</v>
      </c>
      <c r="G13">
        <v>209</v>
      </c>
      <c r="H13">
        <v>316</v>
      </c>
      <c r="I13" s="4">
        <v>0.92267100000000002</v>
      </c>
      <c r="J13" s="7">
        <f t="shared" si="1"/>
        <v>0.98584905660377353</v>
      </c>
      <c r="K13" s="7">
        <f t="shared" si="2"/>
        <v>0.83599999999999997</v>
      </c>
    </row>
    <row r="14" spans="1:11">
      <c r="B14">
        <v>13</v>
      </c>
      <c r="E14">
        <v>2</v>
      </c>
      <c r="F14">
        <v>41</v>
      </c>
      <c r="G14">
        <v>210</v>
      </c>
      <c r="H14">
        <v>316</v>
      </c>
      <c r="I14" s="4">
        <v>0.92442899999999995</v>
      </c>
      <c r="J14" s="7">
        <f t="shared" si="1"/>
        <v>0.99056603773584906</v>
      </c>
      <c r="K14" s="7">
        <f t="shared" si="2"/>
        <v>0.8366533864541833</v>
      </c>
    </row>
    <row r="15" spans="1:11">
      <c r="B15">
        <v>14</v>
      </c>
      <c r="E15">
        <v>1</v>
      </c>
      <c r="F15">
        <v>46</v>
      </c>
      <c r="G15">
        <v>211</v>
      </c>
      <c r="H15">
        <v>311</v>
      </c>
      <c r="I15" s="4">
        <v>0.91739899999999996</v>
      </c>
      <c r="J15" s="7">
        <f t="shared" si="1"/>
        <v>0.99528301886792447</v>
      </c>
      <c r="K15" s="7">
        <f t="shared" si="2"/>
        <v>0.82101167315175094</v>
      </c>
    </row>
    <row r="16" spans="1:11">
      <c r="B16">
        <v>15</v>
      </c>
      <c r="E16">
        <v>1</v>
      </c>
      <c r="F16">
        <v>52</v>
      </c>
      <c r="G16">
        <v>211</v>
      </c>
      <c r="H16">
        <v>305</v>
      </c>
      <c r="I16" s="4">
        <v>0.90685400000000005</v>
      </c>
      <c r="J16" s="7">
        <f t="shared" si="1"/>
        <v>0.99528301886792447</v>
      </c>
      <c r="K16" s="7">
        <f t="shared" si="2"/>
        <v>0.80228136882129275</v>
      </c>
    </row>
    <row r="17" spans="1:11">
      <c r="A17" s="8"/>
      <c r="B17">
        <v>20</v>
      </c>
      <c r="E17">
        <v>3</v>
      </c>
      <c r="F17">
        <v>51</v>
      </c>
      <c r="G17">
        <v>209</v>
      </c>
      <c r="H17">
        <v>306</v>
      </c>
      <c r="I17" s="4">
        <v>0.90509700000000004</v>
      </c>
      <c r="J17" s="7">
        <f t="shared" si="1"/>
        <v>0.98584905660377353</v>
      </c>
      <c r="K17" s="7">
        <f t="shared" si="2"/>
        <v>0.80384615384615388</v>
      </c>
    </row>
    <row r="18" spans="1:11">
      <c r="J18" s="7"/>
      <c r="K18" s="7"/>
    </row>
    <row r="19" spans="1:11">
      <c r="B19">
        <v>110</v>
      </c>
      <c r="E19">
        <v>1</v>
      </c>
      <c r="F19">
        <v>168</v>
      </c>
      <c r="G19">
        <v>211</v>
      </c>
      <c r="H19">
        <v>189</v>
      </c>
      <c r="I19" s="4">
        <v>0.70298799999999995</v>
      </c>
      <c r="J19" s="7">
        <f t="shared" ref="J19:J23" si="3">G19/(G19+E19)</f>
        <v>0.99528301886792447</v>
      </c>
      <c r="K19" s="7">
        <f t="shared" ref="K19:K23" si="4">G19/(G19+F19)</f>
        <v>0.55672823218997358</v>
      </c>
    </row>
    <row r="20" spans="1:11">
      <c r="B20">
        <v>111</v>
      </c>
      <c r="E20">
        <v>1</v>
      </c>
      <c r="F20">
        <v>167</v>
      </c>
      <c r="G20">
        <v>211</v>
      </c>
      <c r="H20">
        <v>190</v>
      </c>
      <c r="I20" s="4">
        <v>0.70474499999999995</v>
      </c>
      <c r="J20" s="7">
        <f t="shared" si="3"/>
        <v>0.99528301886792447</v>
      </c>
      <c r="K20" s="7">
        <f t="shared" si="4"/>
        <v>0.55820105820105825</v>
      </c>
    </row>
    <row r="21" spans="1:11">
      <c r="B21">
        <v>112</v>
      </c>
      <c r="E21">
        <v>1</v>
      </c>
      <c r="F21">
        <v>183</v>
      </c>
      <c r="G21">
        <v>211</v>
      </c>
      <c r="H21">
        <v>174</v>
      </c>
      <c r="I21" s="4">
        <v>0.67662599999999995</v>
      </c>
      <c r="J21" s="7">
        <f t="shared" si="3"/>
        <v>0.99528301886792447</v>
      </c>
      <c r="K21" s="7">
        <f t="shared" si="4"/>
        <v>0.53553299492385786</v>
      </c>
    </row>
    <row r="22" spans="1:11">
      <c r="B22">
        <v>113</v>
      </c>
      <c r="E22">
        <v>1</v>
      </c>
      <c r="F22">
        <v>170</v>
      </c>
      <c r="G22">
        <v>211</v>
      </c>
      <c r="H22">
        <v>187</v>
      </c>
      <c r="I22" s="4">
        <v>0.69947300000000001</v>
      </c>
      <c r="J22" s="7">
        <f t="shared" si="3"/>
        <v>0.99528301886792447</v>
      </c>
      <c r="K22" s="7">
        <f t="shared" si="4"/>
        <v>0.5538057742782152</v>
      </c>
    </row>
    <row r="23" spans="1:11">
      <c r="B23">
        <v>114</v>
      </c>
      <c r="E23">
        <v>1</v>
      </c>
      <c r="F23">
        <v>170</v>
      </c>
      <c r="G23">
        <v>211</v>
      </c>
      <c r="H23">
        <v>187</v>
      </c>
      <c r="I23" s="4">
        <v>0.69947300000000001</v>
      </c>
      <c r="J23" s="7">
        <f t="shared" si="3"/>
        <v>0.99528301886792447</v>
      </c>
      <c r="K23" s="7">
        <f t="shared" si="4"/>
        <v>0.5538057742782152</v>
      </c>
    </row>
    <row r="24" spans="1:11">
      <c r="B24" s="3">
        <v>115</v>
      </c>
      <c r="C24" s="3"/>
      <c r="D24" s="3"/>
      <c r="E24" s="3">
        <v>1</v>
      </c>
      <c r="F24" s="3">
        <v>172</v>
      </c>
      <c r="G24" s="3">
        <v>211</v>
      </c>
      <c r="H24" s="3">
        <v>185</v>
      </c>
      <c r="I24" s="5">
        <v>0.69595799999999997</v>
      </c>
      <c r="J24" s="10">
        <f t="shared" ref="J24:J29" si="5">G24/(G24+E24)</f>
        <v>0.99528301886792447</v>
      </c>
      <c r="K24" s="10">
        <f t="shared" ref="K24:K29" si="6">G24/(G24+F24)</f>
        <v>0.55091383812010442</v>
      </c>
    </row>
    <row r="25" spans="1:11">
      <c r="B25" s="3">
        <v>116</v>
      </c>
      <c r="C25" s="3"/>
      <c r="D25" s="3"/>
      <c r="E25" s="3">
        <v>0</v>
      </c>
      <c r="F25" s="3">
        <v>191</v>
      </c>
      <c r="G25" s="3">
        <v>212</v>
      </c>
      <c r="H25" s="3">
        <v>166</v>
      </c>
      <c r="I25" s="5">
        <v>0.664323</v>
      </c>
      <c r="J25" s="10">
        <f t="shared" si="5"/>
        <v>1</v>
      </c>
      <c r="K25" s="10">
        <f t="shared" si="6"/>
        <v>0.52605459057071957</v>
      </c>
    </row>
    <row r="26" spans="1:11">
      <c r="B26">
        <v>117</v>
      </c>
      <c r="E26">
        <v>0</v>
      </c>
      <c r="F26">
        <v>191</v>
      </c>
      <c r="G26">
        <v>212</v>
      </c>
      <c r="H26">
        <v>166</v>
      </c>
      <c r="I26" s="4">
        <v>0.664323</v>
      </c>
      <c r="J26" s="7">
        <f t="shared" si="5"/>
        <v>1</v>
      </c>
      <c r="K26" s="7">
        <f t="shared" si="6"/>
        <v>0.52605459057071957</v>
      </c>
    </row>
    <row r="27" spans="1:11">
      <c r="B27">
        <v>118</v>
      </c>
      <c r="E27">
        <v>0</v>
      </c>
      <c r="F27">
        <v>193</v>
      </c>
      <c r="G27">
        <v>212</v>
      </c>
      <c r="H27">
        <v>164</v>
      </c>
      <c r="I27" s="4">
        <v>0.66080799999999995</v>
      </c>
      <c r="J27" s="7">
        <f t="shared" si="5"/>
        <v>1</v>
      </c>
      <c r="K27" s="7">
        <f t="shared" si="6"/>
        <v>0.52345679012345681</v>
      </c>
    </row>
    <row r="28" spans="1:11">
      <c r="B28">
        <v>119</v>
      </c>
      <c r="E28">
        <v>0</v>
      </c>
      <c r="F28">
        <v>194</v>
      </c>
      <c r="G28">
        <v>212</v>
      </c>
      <c r="H28">
        <v>163</v>
      </c>
      <c r="I28" s="4">
        <v>0.65905100000000005</v>
      </c>
      <c r="J28" s="7">
        <f t="shared" si="5"/>
        <v>1</v>
      </c>
      <c r="K28" s="7">
        <f t="shared" si="6"/>
        <v>0.52216748768472909</v>
      </c>
    </row>
    <row r="29" spans="1:11">
      <c r="B29">
        <v>120</v>
      </c>
      <c r="E29">
        <v>0</v>
      </c>
      <c r="F29">
        <v>195</v>
      </c>
      <c r="G29">
        <v>212</v>
      </c>
      <c r="H29">
        <v>162</v>
      </c>
      <c r="I29" s="4">
        <v>0.65729300000000002</v>
      </c>
      <c r="J29" s="7">
        <f t="shared" si="5"/>
        <v>1</v>
      </c>
      <c r="K29" s="7">
        <f t="shared" si="6"/>
        <v>0.52088452088452086</v>
      </c>
    </row>
    <row r="30" spans="1:11">
      <c r="J30" s="7"/>
      <c r="K30" s="7"/>
    </row>
    <row r="31" spans="1:11">
      <c r="J31" s="7"/>
      <c r="K31" s="7"/>
    </row>
    <row r="32" spans="1:11">
      <c r="J32" s="7"/>
      <c r="K32" s="7"/>
    </row>
    <row r="33" spans="2:11">
      <c r="J33" s="7"/>
      <c r="K33" s="7"/>
    </row>
    <row r="34" spans="2:11">
      <c r="J34" s="7"/>
      <c r="K34" s="7"/>
    </row>
    <row r="35" spans="2:11">
      <c r="J35" s="7"/>
      <c r="K35" s="7"/>
    </row>
    <row r="36" spans="2:11">
      <c r="J36" s="7"/>
      <c r="K36" s="7"/>
    </row>
    <row r="37" spans="2:11">
      <c r="J37" s="7"/>
      <c r="K37" s="7"/>
    </row>
    <row r="38" spans="2:11">
      <c r="J38" s="7"/>
      <c r="K38" s="7"/>
    </row>
    <row r="39" spans="2:11">
      <c r="B39" s="11"/>
      <c r="J39" s="7"/>
      <c r="K39" s="7"/>
    </row>
    <row r="40" spans="2:11">
      <c r="B40" s="11"/>
      <c r="J40" s="7"/>
      <c r="K40" s="7"/>
    </row>
    <row r="41" spans="2:11">
      <c r="B41" s="11"/>
      <c r="J41" s="7"/>
      <c r="K41" s="7"/>
    </row>
    <row r="42" spans="2:11">
      <c r="B42" s="11"/>
      <c r="J42" s="7"/>
      <c r="K42" s="7"/>
    </row>
    <row r="43" spans="2:11">
      <c r="B43" s="11"/>
      <c r="J43" s="7"/>
      <c r="K43" s="7"/>
    </row>
    <row r="44" spans="2:11">
      <c r="B44" s="11"/>
      <c r="J44" s="7"/>
      <c r="K44" s="7"/>
    </row>
    <row r="45" spans="2:11">
      <c r="B45" s="11"/>
      <c r="J45" s="7"/>
      <c r="K45" s="7"/>
    </row>
    <row r="46" spans="2:11">
      <c r="B46" s="11"/>
      <c r="J46" s="7"/>
      <c r="K46" s="7"/>
    </row>
    <row r="47" spans="2:11">
      <c r="B47" s="11"/>
      <c r="J47" s="7"/>
      <c r="K47" s="7"/>
    </row>
    <row r="48" spans="2:11">
      <c r="B48" s="11"/>
      <c r="J48" s="7"/>
      <c r="K48" s="7"/>
    </row>
    <row r="49" spans="2:11">
      <c r="B49" s="11"/>
      <c r="J49" s="7"/>
      <c r="K49" s="7"/>
    </row>
    <row r="50" spans="2:11">
      <c r="B50" s="11"/>
      <c r="J50" s="7"/>
      <c r="K50" s="7"/>
    </row>
    <row r="51" spans="2:11">
      <c r="B51" s="11"/>
      <c r="J51" s="7"/>
      <c r="K51" s="7"/>
    </row>
    <row r="52" spans="2:11">
      <c r="B52" s="11"/>
      <c r="J52" s="7"/>
      <c r="K52" s="7"/>
    </row>
    <row r="53" spans="2:11">
      <c r="B53" s="11"/>
      <c r="J53" s="7"/>
      <c r="K53" s="7"/>
    </row>
    <row r="54" spans="2:11">
      <c r="B54" s="11"/>
      <c r="J54" s="7"/>
      <c r="K54" s="7"/>
    </row>
    <row r="55" spans="2:11">
      <c r="B55" s="11"/>
      <c r="J55" s="7"/>
      <c r="K55" s="7"/>
    </row>
    <row r="56" spans="2:11">
      <c r="B56" s="11"/>
      <c r="J56" s="7"/>
      <c r="K56" s="7"/>
    </row>
    <row r="57" spans="2:11">
      <c r="B57" s="11"/>
      <c r="J57" s="7"/>
      <c r="K57" s="7"/>
    </row>
  </sheetData>
  <pageMargins left="0.7" right="0.7" top="0.78740157499999996" bottom="0.78740157499999996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8AC1-ABA6-4CED-9518-5F369E6A9F28}">
  <sheetPr>
    <tabColor theme="0" tint="-0.14999847407452621"/>
  </sheetPr>
  <dimension ref="A1:K45"/>
  <sheetViews>
    <sheetView zoomScale="70" zoomScaleNormal="70" workbookViewId="0">
      <selection activeCell="I30" sqref="I30"/>
    </sheetView>
  </sheetViews>
  <sheetFormatPr defaultColWidth="11.42578125" defaultRowHeight="15"/>
  <cols>
    <col min="1" max="1" width="32.7109375" customWidth="1"/>
  </cols>
  <sheetData>
    <row r="1" spans="1:1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</v>
      </c>
      <c r="H1" s="2" t="s">
        <v>278</v>
      </c>
      <c r="I1" s="2" t="s">
        <v>6</v>
      </c>
      <c r="J1" t="s">
        <v>279</v>
      </c>
      <c r="K1" t="s">
        <v>280</v>
      </c>
    </row>
    <row r="2" spans="1:11">
      <c r="B2">
        <v>1</v>
      </c>
      <c r="C2">
        <v>1</v>
      </c>
      <c r="E2">
        <v>33</v>
      </c>
      <c r="F2">
        <v>8</v>
      </c>
      <c r="G2">
        <v>158</v>
      </c>
      <c r="H2">
        <v>313</v>
      </c>
      <c r="I2" s="7">
        <v>0.91992200000000002</v>
      </c>
      <c r="J2" s="7">
        <f>G2/(G2+E2)</f>
        <v>0.82722513089005234</v>
      </c>
      <c r="K2" s="7">
        <f t="shared" ref="K2:K45" si="0">G2/(G2+F2)</f>
        <v>0.95180722891566261</v>
      </c>
    </row>
    <row r="3" spans="1:11">
      <c r="B3">
        <v>2</v>
      </c>
      <c r="E3">
        <v>31</v>
      </c>
      <c r="F3">
        <v>21</v>
      </c>
      <c r="G3">
        <v>160</v>
      </c>
      <c r="H3">
        <v>300</v>
      </c>
      <c r="I3" s="7">
        <v>0.89843799999999996</v>
      </c>
      <c r="J3" s="7">
        <f t="shared" ref="J3:J45" si="1">G3/(G3+E3)</f>
        <v>0.83769633507853403</v>
      </c>
      <c r="K3" s="7">
        <f t="shared" si="0"/>
        <v>0.88397790055248615</v>
      </c>
    </row>
    <row r="4" spans="1:11">
      <c r="B4">
        <v>3</v>
      </c>
      <c r="E4">
        <v>40</v>
      </c>
      <c r="F4">
        <v>13</v>
      </c>
      <c r="G4">
        <v>151</v>
      </c>
      <c r="H4">
        <v>308</v>
      </c>
      <c r="I4" s="7">
        <v>0.89648399999999995</v>
      </c>
      <c r="J4" s="7">
        <f t="shared" si="1"/>
        <v>0.79057591623036649</v>
      </c>
      <c r="K4" s="7">
        <f t="shared" si="0"/>
        <v>0.92073170731707321</v>
      </c>
    </row>
    <row r="5" spans="1:11">
      <c r="B5">
        <v>4</v>
      </c>
      <c r="E5">
        <v>29</v>
      </c>
      <c r="F5">
        <v>17</v>
      </c>
      <c r="G5">
        <v>162</v>
      </c>
      <c r="H5">
        <v>304</v>
      </c>
      <c r="I5" s="7">
        <v>0.91015599999999997</v>
      </c>
      <c r="J5" s="7">
        <f t="shared" si="1"/>
        <v>0.84816753926701571</v>
      </c>
      <c r="K5" s="7">
        <f>G5/(G5+E5)</f>
        <v>0.84816753926701571</v>
      </c>
    </row>
    <row r="6" spans="1:11">
      <c r="B6">
        <v>5</v>
      </c>
      <c r="E6">
        <v>29</v>
      </c>
      <c r="F6">
        <v>18</v>
      </c>
      <c r="G6">
        <v>162</v>
      </c>
      <c r="H6">
        <v>303</v>
      </c>
      <c r="I6" s="7">
        <v>0.90820299999999998</v>
      </c>
      <c r="J6" s="7">
        <f t="shared" si="1"/>
        <v>0.84816753926701571</v>
      </c>
      <c r="K6" s="7">
        <f t="shared" si="0"/>
        <v>0.9</v>
      </c>
    </row>
    <row r="7" spans="1:11">
      <c r="B7">
        <v>6</v>
      </c>
      <c r="E7">
        <v>34</v>
      </c>
      <c r="F7">
        <v>18</v>
      </c>
      <c r="G7">
        <v>157</v>
      </c>
      <c r="H7">
        <v>303</v>
      </c>
      <c r="I7" s="7">
        <v>0.89843799999999996</v>
      </c>
      <c r="J7" s="7">
        <f t="shared" si="1"/>
        <v>0.82198952879581155</v>
      </c>
      <c r="K7" s="7">
        <f t="shared" si="0"/>
        <v>0.89714285714285713</v>
      </c>
    </row>
    <row r="8" spans="1:11">
      <c r="B8">
        <v>7</v>
      </c>
      <c r="E8">
        <v>42</v>
      </c>
      <c r="F8">
        <v>20</v>
      </c>
      <c r="G8">
        <v>149</v>
      </c>
      <c r="H8">
        <v>301</v>
      </c>
      <c r="I8" s="7">
        <v>0.87890599999999997</v>
      </c>
      <c r="J8" s="7">
        <f t="shared" si="1"/>
        <v>0.78010471204188481</v>
      </c>
      <c r="K8" s="7">
        <f t="shared" si="0"/>
        <v>0.88165680473372776</v>
      </c>
    </row>
    <row r="9" spans="1:11">
      <c r="B9">
        <v>8</v>
      </c>
      <c r="E9">
        <v>46</v>
      </c>
      <c r="F9">
        <v>22</v>
      </c>
      <c r="G9">
        <v>145</v>
      </c>
      <c r="H9">
        <v>299</v>
      </c>
      <c r="I9" s="7">
        <v>0.86718799999999996</v>
      </c>
      <c r="J9" s="7">
        <f t="shared" si="1"/>
        <v>0.75916230366492143</v>
      </c>
      <c r="K9" s="7">
        <f t="shared" si="0"/>
        <v>0.86826347305389218</v>
      </c>
    </row>
    <row r="10" spans="1:11">
      <c r="A10" s="8"/>
      <c r="B10">
        <v>20</v>
      </c>
      <c r="E10">
        <v>46</v>
      </c>
      <c r="F10">
        <v>19</v>
      </c>
      <c r="G10">
        <v>145</v>
      </c>
      <c r="H10">
        <v>302</v>
      </c>
      <c r="I10" s="7">
        <v>0.87304700000000002</v>
      </c>
      <c r="J10" s="7">
        <f t="shared" si="1"/>
        <v>0.75916230366492143</v>
      </c>
      <c r="K10" s="7">
        <f t="shared" si="0"/>
        <v>0.88414634146341464</v>
      </c>
    </row>
    <row r="11" spans="1:11">
      <c r="B11">
        <v>25</v>
      </c>
      <c r="E11">
        <v>46</v>
      </c>
      <c r="F11">
        <v>8</v>
      </c>
      <c r="G11">
        <v>145</v>
      </c>
      <c r="H11">
        <v>313</v>
      </c>
      <c r="I11" s="7">
        <v>0.89453099999999997</v>
      </c>
      <c r="J11" s="7">
        <f t="shared" si="1"/>
        <v>0.75916230366492143</v>
      </c>
      <c r="K11" s="7">
        <f t="shared" si="0"/>
        <v>0.94771241830065356</v>
      </c>
    </row>
    <row r="12" spans="1:11">
      <c r="B12">
        <v>50</v>
      </c>
      <c r="E12">
        <v>17</v>
      </c>
      <c r="F12">
        <v>28</v>
      </c>
      <c r="G12">
        <v>174</v>
      </c>
      <c r="H12">
        <v>293</v>
      </c>
      <c r="I12" s="7">
        <v>0.91210899999999995</v>
      </c>
      <c r="J12" s="7">
        <f t="shared" si="1"/>
        <v>0.91099476439790572</v>
      </c>
      <c r="K12" s="7">
        <f t="shared" si="0"/>
        <v>0.86138613861386137</v>
      </c>
    </row>
    <row r="13" spans="1:11">
      <c r="B13">
        <v>100</v>
      </c>
      <c r="E13">
        <v>22</v>
      </c>
      <c r="F13">
        <v>23</v>
      </c>
      <c r="G13">
        <v>169</v>
      </c>
      <c r="H13">
        <v>298</v>
      </c>
      <c r="I13" s="7">
        <v>0.91210899999999995</v>
      </c>
      <c r="J13" s="7">
        <f t="shared" si="1"/>
        <v>0.88481675392670156</v>
      </c>
      <c r="K13" s="7">
        <f t="shared" si="0"/>
        <v>0.88020833333333337</v>
      </c>
    </row>
    <row r="14" spans="1:11">
      <c r="B14">
        <v>200</v>
      </c>
      <c r="E14">
        <v>16</v>
      </c>
      <c r="F14">
        <v>29</v>
      </c>
      <c r="G14">
        <v>175</v>
      </c>
      <c r="H14">
        <v>292</v>
      </c>
      <c r="I14" s="7">
        <v>0.91210899999999995</v>
      </c>
      <c r="J14" s="7">
        <f t="shared" si="1"/>
        <v>0.91623036649214662</v>
      </c>
      <c r="K14" s="7">
        <f t="shared" si="0"/>
        <v>0.85784313725490191</v>
      </c>
    </row>
    <row r="15" spans="1:11">
      <c r="B15">
        <v>300</v>
      </c>
      <c r="E15">
        <v>12</v>
      </c>
      <c r="F15">
        <v>25</v>
      </c>
      <c r="G15">
        <v>179</v>
      </c>
      <c r="H15">
        <v>296</v>
      </c>
      <c r="I15" s="7">
        <v>0.92773399999999995</v>
      </c>
      <c r="J15" s="7">
        <f t="shared" si="1"/>
        <v>0.93717277486910999</v>
      </c>
      <c r="K15" s="7">
        <f t="shared" si="0"/>
        <v>0.87745098039215685</v>
      </c>
    </row>
    <row r="16" spans="1:11">
      <c r="B16">
        <v>400</v>
      </c>
      <c r="E16">
        <v>20</v>
      </c>
      <c r="F16">
        <v>24</v>
      </c>
      <c r="G16">
        <v>171</v>
      </c>
      <c r="H16">
        <v>297</v>
      </c>
      <c r="I16" s="15">
        <v>91.406300000000002</v>
      </c>
      <c r="J16" s="7">
        <f t="shared" si="1"/>
        <v>0.89528795811518325</v>
      </c>
      <c r="K16" s="7">
        <f t="shared" si="0"/>
        <v>0.87692307692307692</v>
      </c>
    </row>
    <row r="17" spans="2:11">
      <c r="B17">
        <v>500</v>
      </c>
      <c r="E17">
        <v>20</v>
      </c>
      <c r="F17">
        <v>23</v>
      </c>
      <c r="G17">
        <v>171</v>
      </c>
      <c r="H17">
        <v>298</v>
      </c>
      <c r="I17" s="15">
        <v>91.601600000000005</v>
      </c>
      <c r="J17" s="7">
        <f t="shared" si="1"/>
        <v>0.89528795811518325</v>
      </c>
      <c r="K17" s="7">
        <f t="shared" si="0"/>
        <v>0.88144329896907214</v>
      </c>
    </row>
    <row r="18" spans="2:11">
      <c r="B18">
        <v>600</v>
      </c>
      <c r="E18">
        <v>20</v>
      </c>
      <c r="F18">
        <v>24</v>
      </c>
      <c r="G18">
        <v>171</v>
      </c>
      <c r="H18">
        <v>297</v>
      </c>
      <c r="I18" s="15">
        <v>91.406300000000002</v>
      </c>
      <c r="J18" s="7">
        <f t="shared" si="1"/>
        <v>0.89528795811518325</v>
      </c>
      <c r="K18" s="7">
        <f t="shared" si="0"/>
        <v>0.87692307692307692</v>
      </c>
    </row>
    <row r="19" spans="2:11">
      <c r="B19">
        <v>700</v>
      </c>
      <c r="E19">
        <v>18</v>
      </c>
      <c r="F19">
        <v>23</v>
      </c>
      <c r="G19">
        <v>173</v>
      </c>
      <c r="H19">
        <v>298</v>
      </c>
      <c r="I19" s="15">
        <v>91.992199999999997</v>
      </c>
      <c r="J19" s="7">
        <f t="shared" si="1"/>
        <v>0.90575916230366493</v>
      </c>
      <c r="K19" s="7">
        <f t="shared" si="0"/>
        <v>0.88265306122448983</v>
      </c>
    </row>
    <row r="20" spans="2:11">
      <c r="B20">
        <v>800</v>
      </c>
      <c r="E20">
        <v>20</v>
      </c>
      <c r="F20">
        <v>24</v>
      </c>
      <c r="G20">
        <v>171</v>
      </c>
      <c r="H20">
        <v>297</v>
      </c>
      <c r="I20" s="15">
        <v>91.406300000000002</v>
      </c>
      <c r="J20" s="7">
        <f t="shared" si="1"/>
        <v>0.89528795811518325</v>
      </c>
      <c r="K20" s="7">
        <f t="shared" si="0"/>
        <v>0.87692307692307692</v>
      </c>
    </row>
    <row r="21" spans="2:11">
      <c r="B21">
        <v>900</v>
      </c>
      <c r="E21">
        <v>20</v>
      </c>
      <c r="F21">
        <v>26</v>
      </c>
      <c r="G21">
        <v>171</v>
      </c>
      <c r="H21">
        <v>295</v>
      </c>
      <c r="I21" s="15">
        <v>91.015600000000006</v>
      </c>
      <c r="J21" s="7">
        <f t="shared" si="1"/>
        <v>0.89528795811518325</v>
      </c>
      <c r="K21" s="7">
        <f t="shared" si="0"/>
        <v>0.86802030456852797</v>
      </c>
    </row>
    <row r="22" spans="2:11">
      <c r="B22">
        <v>1000</v>
      </c>
      <c r="E22">
        <v>18</v>
      </c>
      <c r="F22">
        <v>24</v>
      </c>
      <c r="G22">
        <v>173</v>
      </c>
      <c r="H22">
        <v>297</v>
      </c>
      <c r="I22" s="15">
        <v>91.796899999999994</v>
      </c>
      <c r="J22" s="7">
        <f t="shared" si="1"/>
        <v>0.90575916230366493</v>
      </c>
      <c r="K22" s="7">
        <f t="shared" si="0"/>
        <v>0.87817258883248728</v>
      </c>
    </row>
    <row r="23" spans="2:11">
      <c r="B23">
        <v>2000</v>
      </c>
      <c r="E23">
        <v>18</v>
      </c>
      <c r="F23">
        <v>27</v>
      </c>
      <c r="G23">
        <v>173</v>
      </c>
      <c r="H23">
        <v>294</v>
      </c>
      <c r="I23" s="15">
        <v>91.210899999999995</v>
      </c>
      <c r="J23" s="7">
        <f t="shared" si="1"/>
        <v>0.90575916230366493</v>
      </c>
      <c r="K23" s="7">
        <f t="shared" si="0"/>
        <v>0.86499999999999999</v>
      </c>
    </row>
    <row r="24" spans="2:11">
      <c r="B24">
        <v>3000</v>
      </c>
      <c r="E24">
        <v>17</v>
      </c>
      <c r="F24">
        <v>27</v>
      </c>
      <c r="G24">
        <v>174</v>
      </c>
      <c r="H24">
        <v>294</v>
      </c>
      <c r="I24" s="15">
        <v>91.406300000000002</v>
      </c>
      <c r="J24" s="7">
        <f t="shared" si="1"/>
        <v>0.91099476439790572</v>
      </c>
      <c r="K24" s="7">
        <f t="shared" si="0"/>
        <v>0.86567164179104472</v>
      </c>
    </row>
    <row r="25" spans="2:11">
      <c r="B25">
        <v>4000</v>
      </c>
      <c r="E25">
        <v>17</v>
      </c>
      <c r="F25">
        <v>28</v>
      </c>
      <c r="G25">
        <v>174</v>
      </c>
      <c r="H25">
        <v>293</v>
      </c>
      <c r="I25" s="15">
        <v>91.210899999999995</v>
      </c>
      <c r="J25" s="7">
        <f t="shared" si="1"/>
        <v>0.91099476439790572</v>
      </c>
      <c r="K25" s="7">
        <f t="shared" si="0"/>
        <v>0.86138613861386137</v>
      </c>
    </row>
    <row r="26" spans="2:11">
      <c r="B26">
        <v>5000</v>
      </c>
      <c r="E26">
        <v>18</v>
      </c>
      <c r="F26">
        <v>28</v>
      </c>
      <c r="G26">
        <v>173</v>
      </c>
      <c r="H26">
        <v>293</v>
      </c>
      <c r="I26" s="15">
        <v>91.015600000000006</v>
      </c>
      <c r="J26" s="7">
        <f t="shared" si="1"/>
        <v>0.90575916230366493</v>
      </c>
      <c r="K26" s="7">
        <f t="shared" si="0"/>
        <v>0.86069651741293529</v>
      </c>
    </row>
    <row r="27" spans="2:11">
      <c r="B27" s="11">
        <v>10000</v>
      </c>
      <c r="E27">
        <v>10</v>
      </c>
      <c r="F27">
        <v>30</v>
      </c>
      <c r="G27">
        <v>181</v>
      </c>
      <c r="H27">
        <v>291</v>
      </c>
      <c r="I27" s="15">
        <v>92.1875</v>
      </c>
      <c r="J27" s="7">
        <f t="shared" si="1"/>
        <v>0.94764397905759157</v>
      </c>
      <c r="K27" s="7">
        <f t="shared" si="0"/>
        <v>0.85781990521327012</v>
      </c>
    </row>
    <row r="28" spans="2:11">
      <c r="B28" s="11">
        <v>15000</v>
      </c>
      <c r="E28">
        <v>9</v>
      </c>
      <c r="F28">
        <v>29</v>
      </c>
      <c r="G28">
        <v>182</v>
      </c>
      <c r="H28">
        <v>292</v>
      </c>
      <c r="I28" s="15">
        <v>92.578100000000006</v>
      </c>
      <c r="J28" s="7">
        <f t="shared" si="1"/>
        <v>0.95287958115183247</v>
      </c>
      <c r="K28" s="7">
        <f t="shared" si="0"/>
        <v>0.86255924170616116</v>
      </c>
    </row>
    <row r="29" spans="2:11">
      <c r="B29" s="11">
        <v>20000</v>
      </c>
      <c r="E29">
        <v>10</v>
      </c>
      <c r="F29">
        <v>30</v>
      </c>
      <c r="G29">
        <v>181</v>
      </c>
      <c r="H29">
        <v>291</v>
      </c>
      <c r="I29" s="15">
        <v>92.1875</v>
      </c>
      <c r="J29" s="7">
        <f t="shared" si="1"/>
        <v>0.94764397905759157</v>
      </c>
      <c r="K29" s="7">
        <f t="shared" si="0"/>
        <v>0.85781990521327012</v>
      </c>
    </row>
    <row r="30" spans="2:11">
      <c r="B30" s="13">
        <v>25000</v>
      </c>
      <c r="C30" s="3"/>
      <c r="D30" s="3"/>
      <c r="E30" s="3">
        <v>9</v>
      </c>
      <c r="F30" s="3">
        <v>29</v>
      </c>
      <c r="G30" s="3">
        <v>182</v>
      </c>
      <c r="H30" s="3">
        <v>292</v>
      </c>
      <c r="I30" s="16">
        <v>92.578100000000006</v>
      </c>
      <c r="J30" s="10">
        <f t="shared" si="1"/>
        <v>0.95287958115183247</v>
      </c>
      <c r="K30" s="10">
        <f t="shared" si="0"/>
        <v>0.86255924170616116</v>
      </c>
    </row>
    <row r="31" spans="2:11">
      <c r="B31" s="11">
        <v>50000</v>
      </c>
      <c r="E31">
        <v>9</v>
      </c>
      <c r="F31">
        <v>30</v>
      </c>
      <c r="G31">
        <v>182</v>
      </c>
      <c r="H31">
        <v>291</v>
      </c>
      <c r="I31" s="15">
        <v>92.382800000000003</v>
      </c>
      <c r="J31" s="7">
        <f t="shared" si="1"/>
        <v>0.95287958115183247</v>
      </c>
      <c r="K31" s="7">
        <f t="shared" si="0"/>
        <v>0.85849056603773588</v>
      </c>
    </row>
    <row r="32" spans="2:11">
      <c r="B32" s="11">
        <v>75000</v>
      </c>
      <c r="E32">
        <v>8</v>
      </c>
      <c r="F32">
        <v>35</v>
      </c>
      <c r="G32">
        <v>183</v>
      </c>
      <c r="H32">
        <v>286</v>
      </c>
      <c r="I32" s="15">
        <v>91.601600000000005</v>
      </c>
      <c r="J32" s="7">
        <f t="shared" si="1"/>
        <v>0.95811518324607325</v>
      </c>
      <c r="K32" s="7">
        <f t="shared" si="0"/>
        <v>0.83944954128440363</v>
      </c>
    </row>
    <row r="33" spans="2:11">
      <c r="B33" s="11">
        <v>99999.1492</v>
      </c>
      <c r="E33">
        <v>9</v>
      </c>
      <c r="F33">
        <v>35</v>
      </c>
      <c r="G33">
        <v>182</v>
      </c>
      <c r="H33">
        <v>286</v>
      </c>
      <c r="I33" s="15">
        <v>91.406300000000002</v>
      </c>
      <c r="J33" s="7">
        <f t="shared" si="1"/>
        <v>0.95287958115183247</v>
      </c>
      <c r="K33" s="7">
        <f t="shared" si="0"/>
        <v>0.83870967741935487</v>
      </c>
    </row>
    <row r="34" spans="2:11">
      <c r="B34" s="11">
        <v>99999.149300000005</v>
      </c>
      <c r="E34">
        <v>4</v>
      </c>
      <c r="F34">
        <v>49</v>
      </c>
      <c r="G34">
        <v>187</v>
      </c>
      <c r="H34">
        <v>272</v>
      </c>
      <c r="I34" s="15">
        <v>89.648399999999995</v>
      </c>
      <c r="J34" s="7">
        <f t="shared" si="1"/>
        <v>0.97905759162303663</v>
      </c>
      <c r="K34" s="7">
        <f t="shared" si="0"/>
        <v>0.7923728813559322</v>
      </c>
    </row>
    <row r="35" spans="2:11">
      <c r="B35" s="11">
        <v>100000</v>
      </c>
      <c r="E35">
        <v>4</v>
      </c>
      <c r="F35">
        <v>49</v>
      </c>
      <c r="G35">
        <v>187</v>
      </c>
      <c r="H35">
        <v>272</v>
      </c>
      <c r="I35" s="15">
        <v>89.648399999999995</v>
      </c>
      <c r="J35" s="7">
        <f t="shared" si="1"/>
        <v>0.97905759162303663</v>
      </c>
      <c r="K35" s="7">
        <f t="shared" si="0"/>
        <v>0.7923728813559322</v>
      </c>
    </row>
    <row r="36" spans="2:11">
      <c r="B36" s="11">
        <v>200000</v>
      </c>
      <c r="E36">
        <v>4</v>
      </c>
      <c r="F36">
        <v>53</v>
      </c>
      <c r="G36">
        <v>187</v>
      </c>
      <c r="H36">
        <v>268</v>
      </c>
      <c r="I36" s="15">
        <v>88.867199999999997</v>
      </c>
      <c r="J36" s="7">
        <f t="shared" si="1"/>
        <v>0.97905759162303663</v>
      </c>
      <c r="K36" s="7">
        <f t="shared" si="0"/>
        <v>0.77916666666666667</v>
      </c>
    </row>
    <row r="37" spans="2:11">
      <c r="B37" s="11">
        <v>300000</v>
      </c>
      <c r="E37">
        <v>4</v>
      </c>
      <c r="F37">
        <v>55</v>
      </c>
      <c r="G37">
        <v>187</v>
      </c>
      <c r="H37">
        <v>266</v>
      </c>
      <c r="I37" s="15">
        <v>88.476600000000005</v>
      </c>
      <c r="J37" s="7">
        <f t="shared" si="1"/>
        <v>0.97905759162303663</v>
      </c>
      <c r="K37" s="7">
        <f t="shared" si="0"/>
        <v>0.77272727272727271</v>
      </c>
    </row>
    <row r="38" spans="2:11">
      <c r="B38" s="11">
        <v>400000</v>
      </c>
      <c r="E38">
        <v>4</v>
      </c>
      <c r="F38">
        <v>55</v>
      </c>
      <c r="G38">
        <v>187</v>
      </c>
      <c r="H38">
        <v>266</v>
      </c>
      <c r="I38" s="15">
        <v>88.476600000000005</v>
      </c>
      <c r="J38" s="7">
        <f t="shared" si="1"/>
        <v>0.97905759162303663</v>
      </c>
      <c r="K38" s="7">
        <f t="shared" si="0"/>
        <v>0.77272727272727271</v>
      </c>
    </row>
    <row r="39" spans="2:11">
      <c r="B39" s="13">
        <v>500000</v>
      </c>
      <c r="C39" s="3"/>
      <c r="D39" s="3"/>
      <c r="E39" s="14">
        <v>4</v>
      </c>
      <c r="F39" s="3">
        <v>58</v>
      </c>
      <c r="G39" s="3">
        <v>187</v>
      </c>
      <c r="H39" s="3">
        <v>263</v>
      </c>
      <c r="I39" s="17">
        <v>87.890600000000006</v>
      </c>
      <c r="J39" s="10">
        <f t="shared" si="1"/>
        <v>0.97905759162303663</v>
      </c>
      <c r="K39" s="10">
        <f t="shared" si="0"/>
        <v>0.76326530612244903</v>
      </c>
    </row>
    <row r="40" spans="2:11">
      <c r="B40" s="13">
        <v>600000</v>
      </c>
      <c r="C40" s="3"/>
      <c r="D40" s="3"/>
      <c r="E40" s="14">
        <v>3</v>
      </c>
      <c r="F40" s="3">
        <v>116</v>
      </c>
      <c r="G40" s="3">
        <v>188</v>
      </c>
      <c r="H40" s="3">
        <v>205</v>
      </c>
      <c r="I40" s="17">
        <v>76.757800000000003</v>
      </c>
      <c r="J40" s="10">
        <f t="shared" si="1"/>
        <v>0.98429319371727753</v>
      </c>
      <c r="K40" s="10">
        <f t="shared" si="0"/>
        <v>0.61842105263157898</v>
      </c>
    </row>
    <row r="41" spans="2:11">
      <c r="B41" s="11">
        <v>700000</v>
      </c>
      <c r="E41">
        <v>3</v>
      </c>
      <c r="F41">
        <v>120</v>
      </c>
      <c r="G41">
        <v>188</v>
      </c>
      <c r="H41">
        <v>201</v>
      </c>
      <c r="I41" s="15">
        <v>75.976600000000005</v>
      </c>
      <c r="J41" s="7">
        <f t="shared" si="1"/>
        <v>0.98429319371727753</v>
      </c>
      <c r="K41" s="7">
        <f t="shared" si="0"/>
        <v>0.61038961038961037</v>
      </c>
    </row>
    <row r="42" spans="2:11">
      <c r="B42" s="11">
        <v>800000</v>
      </c>
      <c r="E42">
        <v>3</v>
      </c>
      <c r="F42">
        <v>122</v>
      </c>
      <c r="G42">
        <v>188</v>
      </c>
      <c r="H42">
        <v>199</v>
      </c>
      <c r="I42" s="15">
        <v>75.585899999999995</v>
      </c>
      <c r="J42" s="7">
        <f t="shared" si="1"/>
        <v>0.98429319371727753</v>
      </c>
      <c r="K42" s="7">
        <f t="shared" si="0"/>
        <v>0.6064516129032258</v>
      </c>
    </row>
    <row r="43" spans="2:11">
      <c r="B43" s="11">
        <v>900000</v>
      </c>
      <c r="E43">
        <v>3</v>
      </c>
      <c r="F43">
        <v>125</v>
      </c>
      <c r="G43">
        <v>188</v>
      </c>
      <c r="H43">
        <v>196</v>
      </c>
      <c r="I43" s="15">
        <v>75</v>
      </c>
      <c r="J43" s="7">
        <f t="shared" si="1"/>
        <v>0.98429319371727753</v>
      </c>
      <c r="K43" s="7">
        <f t="shared" si="0"/>
        <v>0.60063897763578278</v>
      </c>
    </row>
    <row r="44" spans="2:11">
      <c r="B44" s="11">
        <v>1000000</v>
      </c>
      <c r="E44">
        <v>3</v>
      </c>
      <c r="F44">
        <v>126</v>
      </c>
      <c r="G44">
        <v>188</v>
      </c>
      <c r="H44">
        <v>195</v>
      </c>
      <c r="I44" s="15">
        <v>74.804699999999997</v>
      </c>
      <c r="J44" s="7">
        <f t="shared" si="1"/>
        <v>0.98429319371727753</v>
      </c>
      <c r="K44" s="7">
        <f t="shared" si="0"/>
        <v>0.59872611464968151</v>
      </c>
    </row>
    <row r="45" spans="2:11">
      <c r="B45" s="11">
        <v>1996700</v>
      </c>
      <c r="E45">
        <v>0</v>
      </c>
      <c r="F45">
        <v>231</v>
      </c>
      <c r="G45">
        <v>191</v>
      </c>
      <c r="H45">
        <v>90</v>
      </c>
      <c r="I45" s="15">
        <v>54.882800000000003</v>
      </c>
      <c r="J45" s="7">
        <f t="shared" si="1"/>
        <v>1</v>
      </c>
      <c r="K45" s="7">
        <f t="shared" si="0"/>
        <v>0.45260663507109006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Marek Hass</dc:creator>
  <cp:keywords/>
  <dc:description/>
  <cp:lastModifiedBy/>
  <cp:revision/>
  <dcterms:created xsi:type="dcterms:W3CDTF">2025-11-03T15:06:30Z</dcterms:created>
  <dcterms:modified xsi:type="dcterms:W3CDTF">2025-12-14T16:01:16Z</dcterms:modified>
  <cp:category/>
  <cp:contentStatus/>
</cp:coreProperties>
</file>