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etm\Downloads\"/>
    </mc:Choice>
  </mc:AlternateContent>
  <xr:revisionPtr revIDLastSave="0" documentId="13_ncr:1_{586D63C6-5CE7-4C55-8F63-3961F173E758}" xr6:coauthVersionLast="47" xr6:coauthVersionMax="47" xr10:uidLastSave="{00000000-0000-0000-0000-000000000000}"/>
  <bookViews>
    <workbookView xWindow="-108" yWindow="-108" windowWidth="23256" windowHeight="12456" xr2:uid="{51B891DB-D3CA-4F31-B757-4FB39FAB4DE7}"/>
  </bookViews>
  <sheets>
    <sheet name="Random Forest" sheetId="1" r:id="rId1"/>
    <sheet name="J48" sheetId="2" r:id="rId2"/>
    <sheet name="Naive Bayes" sheetId="4" r:id="rId3"/>
    <sheet name="Bayes Networks" sheetId="5" r:id="rId4"/>
    <sheet name="OneR" sheetId="3" r:id="rId5"/>
    <sheet name="Functions Logistics" sheetId="6" r:id="rId6"/>
  </sheets>
  <definedNames>
    <definedName name="_xlnm._FilterDatabase" localSheetId="3" hidden="1">'Bayes Networks'!$A$1:$H$1</definedName>
    <definedName name="_xlnm._FilterDatabase" localSheetId="5" hidden="1">'Functions Logistics'!$A$1:$H$1</definedName>
    <definedName name="_xlnm._FilterDatabase" localSheetId="2" hidden="1">'Naive Bayes'!$A$1:$H$1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6" l="1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  <c r="H2" i="5"/>
  <c r="G2" i="5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</calcChain>
</file>

<file path=xl/sharedStrings.xml><?xml version="1.0" encoding="utf-8"?>
<sst xmlns="http://schemas.openxmlformats.org/spreadsheetml/2006/main" count="48" uniqueCount="8">
  <si>
    <t>Penalty Values</t>
  </si>
  <si>
    <t>False Negative</t>
  </si>
  <si>
    <t>False Positive</t>
  </si>
  <si>
    <t>True Positive</t>
  </si>
  <si>
    <t>True Negative</t>
  </si>
  <si>
    <t>Accuracy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</si>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</sst>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0" fontId="2" fillId="2" borderId="0" xfId="0" applyFont="1" applyFill="1"/>
    <xf numFmtId="10" fontId="2" fillId="2" borderId="0" xfId="0" applyNumberFormat="1" applyFont="1" applyFill="1"/>
    <xf numFmtId="0" fontId="2" fillId="3" borderId="0" xfId="0" applyFont="1" applyFill="1"/>
    <xf numFmtId="10" fontId="2" fillId="3" borderId="0" xfId="0" applyNumberFormat="1" applyFont="1" applyFill="1"/>
    <xf numFmtId="0" fontId="2" fillId="4" borderId="0" xfId="0" applyFont="1" applyFill="1"/>
    <xf numFmtId="10" fontId="2" fillId="0" borderId="0" xfId="0" applyNumberFormat="1" applyFont="1" applyAlignment="1">
      <alignment wrapText="1"/>
    </xf>
    <xf numFmtId="0" fontId="1" fillId="5" borderId="2" xfId="0" applyFont="1" applyFill="1" applyBorder="1"/>
    <xf numFmtId="0" fontId="1" fillId="5" borderId="1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2" fillId="6" borderId="5" xfId="0" applyFont="1" applyFill="1" applyBorder="1"/>
    <xf numFmtId="0" fontId="2" fillId="6" borderId="3" xfId="0" applyFont="1" applyFill="1" applyBorder="1"/>
    <xf numFmtId="10" fontId="2" fillId="6" borderId="3" xfId="0" applyNumberFormat="1" applyFont="1" applyFill="1" applyBorder="1"/>
    <xf numFmtId="10" fontId="2" fillId="6" borderId="4" xfId="0" applyNumberFormat="1" applyFont="1" applyFill="1" applyBorder="1"/>
    <xf numFmtId="0" fontId="2" fillId="0" borderId="5" xfId="0" applyFont="1" applyBorder="1"/>
    <xf numFmtId="0" fontId="2" fillId="0" borderId="3" xfId="0" applyFont="1" applyBorder="1"/>
    <xf numFmtId="10" fontId="2" fillId="0" borderId="3" xfId="0" applyNumberFormat="1" applyFont="1" applyBorder="1"/>
    <xf numFmtId="10" fontId="2" fillId="0" borderId="4" xfId="0" applyNumberFormat="1" applyFont="1" applyBorder="1"/>
    <xf numFmtId="10" fontId="2" fillId="2" borderId="3" xfId="0" applyNumberFormat="1" applyFont="1" applyFill="1" applyBorder="1"/>
    <xf numFmtId="10" fontId="2" fillId="2" borderId="4" xfId="0" applyNumberFormat="1" applyFont="1" applyFill="1" applyBorder="1"/>
    <xf numFmtId="0" fontId="2" fillId="4" borderId="5" xfId="0" applyFont="1" applyFill="1" applyBorder="1"/>
    <xf numFmtId="0" fontId="2" fillId="7" borderId="5" xfId="0" applyFont="1" applyFill="1" applyBorder="1"/>
    <xf numFmtId="0" fontId="2" fillId="7" borderId="3" xfId="0" applyFont="1" applyFill="1" applyBorder="1"/>
    <xf numFmtId="10" fontId="2" fillId="7" borderId="3" xfId="0" applyNumberFormat="1" applyFont="1" applyFill="1" applyBorder="1"/>
    <xf numFmtId="10" fontId="2" fillId="7" borderId="4" xfId="0" applyNumberFormat="1" applyFont="1" applyFill="1" applyBorder="1"/>
    <xf numFmtId="0" fontId="2" fillId="2" borderId="5" xfId="0" applyFont="1" applyFill="1" applyBorder="1"/>
    <xf numFmtId="0" fontId="2" fillId="4" borderId="3" xfId="0" applyFont="1" applyFill="1" applyBorder="1"/>
    <xf numFmtId="10" fontId="2" fillId="4" borderId="3" xfId="0" applyNumberFormat="1" applyFont="1" applyFill="1" applyBorder="1"/>
    <xf numFmtId="10" fontId="2" fillId="4" borderId="4" xfId="0" applyNumberFormat="1" applyFont="1" applyFill="1" applyBorder="1"/>
    <xf numFmtId="10" fontId="2" fillId="0" borderId="3" xfId="0" applyNumberFormat="1" applyFont="1" applyBorder="1" applyAlignment="1">
      <alignment wrapText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5BDB6-4656-478F-AE0A-9210D3A1633D}" name="Tabelle1" displayName="Tabelle1" ref="A1:H38" totalsRowShown="0" headerRowDxfId="29" dataDxfId="28">
  <autoFilter ref="A1:H38" xr:uid="{9255BDB6-4656-478F-AE0A-9210D3A1633D}"/>
  <tableColumns count="8">
    <tableColumn id="1" xr3:uid="{F0417357-CBC7-45E9-8EE6-86C98BCFA1FA}" name="Penalty Values" dataDxfId="27"/>
    <tableColumn id="2" xr3:uid="{FACE00AA-F395-430E-9009-A5776694EE8C}" name="False Negative" dataDxfId="26"/>
    <tableColumn id="3" xr3:uid="{1BB68C4C-3E33-46D7-B7DF-77872433C67B}" name="False Positive" dataDxfId="25"/>
    <tableColumn id="4" xr3:uid="{5A562996-8C96-42B5-B327-607EE934C4E0}" name="True Positive" dataDxfId="24"/>
    <tableColumn id="5" xr3:uid="{09BE4098-2190-4362-A0F7-18886E778148}" name="True Negative" dataDxfId="23"/>
    <tableColumn id="6" xr3:uid="{80259E49-1322-407D-8FFE-01DDD5B29C89}" name="Accuracy" dataDxfId="22"/>
    <tableColumn id="7" xr3:uid="{91A5B6D0-F133-4F21-82DC-708194CF950B}" name="Recall" dataDxfId="21"/>
    <tableColumn id="8" xr3:uid="{89DB4839-B9EC-4C72-83D4-655C5E2E96A3}" name="Precision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58F48D-0FC3-47B1-947C-EED734B16A13}" name="Tabelle2" displayName="Tabelle2" ref="A1:H32" totalsRowShown="0" headerRowDxfId="19" dataDxfId="18">
  <autoFilter ref="A1:H32" xr:uid="{FC58F48D-0FC3-47B1-947C-EED734B16A13}"/>
  <tableColumns count="8">
    <tableColumn id="1" xr3:uid="{27742CD1-D468-4A28-8CEF-6D6047DC0298}" name="Penalty Values" dataDxfId="17"/>
    <tableColumn id="4" xr3:uid="{D798B91B-333F-4BCA-952B-2D629E6F5193}" name="False Negative" dataDxfId="16"/>
    <tableColumn id="5" xr3:uid="{A98FA2AF-20B9-4C40-971F-AC4D22E59065}" name="False Positive" dataDxfId="15"/>
    <tableColumn id="6" xr3:uid="{16D5DFC3-4128-49A6-ACC4-FEA6BAB8DB9D}" name="True Positive" dataDxfId="14"/>
    <tableColumn id="7" xr3:uid="{879E37F8-55B4-41C8-855B-916E408D5AF7}" name="True Negative" dataDxfId="13"/>
    <tableColumn id="8" xr3:uid="{2E8CCCBC-B75D-441D-A876-7C6C7A6FD284}" name="Accuracy" dataDxfId="12"/>
    <tableColumn id="9" xr3:uid="{76CC3DA7-C564-4D38-82FE-B9123331D62A}" name="Recall" dataDxfId="11"/>
    <tableColumn id="10" xr3:uid="{D19F9679-390A-4A5E-85EA-65DC6F61502A}" name="Precision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3D9C4D-5046-4801-8D6B-3C1EE39B2A54}" name="Tabelle3" displayName="Tabelle3" ref="A1:H24" totalsRowShown="0" headerRowDxfId="9" dataDxfId="8">
  <autoFilter ref="A1:H24" xr:uid="{243D9C4D-5046-4801-8D6B-3C1EE39B2A54}"/>
  <tableColumns count="8">
    <tableColumn id="1" xr3:uid="{B2C978AE-A030-4619-AC61-2FFF908B7D79}" name="Penalty Values" dataDxfId="7"/>
    <tableColumn id="4" xr3:uid="{C42688BD-D08E-4419-AB67-2F7D8A3B598E}" name="False Negative" dataDxfId="6"/>
    <tableColumn id="5" xr3:uid="{6266BC88-3709-4258-B1BA-E1E6F0FE9CA5}" name="False Positive" dataDxfId="5"/>
    <tableColumn id="6" xr3:uid="{1534D8D7-E758-40E7-BE76-2022F302DF2A}" name="True Positive" dataDxfId="4"/>
    <tableColumn id="7" xr3:uid="{FD986AEB-A387-4065-BA6B-36BA4F60295F}" name="True Negative" dataDxfId="3"/>
    <tableColumn id="8" xr3:uid="{8BF1648A-7DAC-4FEC-B1CE-E70BCCDAE3F6}" name="Accuracy" dataDxfId="2"/>
    <tableColumn id="9" xr3:uid="{7BD44239-88BD-45B7-8E9A-4E49053FE22C}" name="Recall" dataDxfId="1"/>
    <tableColumn id="10" xr3:uid="{24AC923E-BC6E-4DAD-870B-5E41B44EDA08}" name="Precis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F6D0-6E41-48BC-895B-B04BFF874307}">
  <dimension ref="A1:I40"/>
  <sheetViews>
    <sheetView tabSelected="1" zoomScale="85" zoomScaleNormal="85" workbookViewId="0">
      <selection activeCell="J32" sqref="J32"/>
    </sheetView>
  </sheetViews>
  <sheetFormatPr defaultColWidth="11.44140625" defaultRowHeight="14.4" x14ac:dyDescent="0.3"/>
  <cols>
    <col min="1" max="1" width="16.33203125" bestFit="1" customWidth="1"/>
    <col min="2" max="2" width="16" customWidth="1"/>
    <col min="3" max="3" width="15.33203125" bestFit="1" customWidth="1"/>
    <col min="4" max="4" width="14.44140625" bestFit="1" customWidth="1"/>
    <col min="5" max="5" width="15.109375" bestFit="1" customWidth="1"/>
    <col min="6" max="6" width="11.44140625" bestFit="1" customWidth="1"/>
    <col min="7" max="7" width="8.6640625" bestFit="1" customWidth="1"/>
    <col min="8" max="8" width="11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spans="1:9" x14ac:dyDescent="0.3">
      <c r="A2" s="3">
        <v>1</v>
      </c>
      <c r="B2" s="3">
        <v>15</v>
      </c>
      <c r="C2" s="3">
        <v>9</v>
      </c>
      <c r="D2" s="3">
        <v>197</v>
      </c>
      <c r="E2" s="3">
        <v>348</v>
      </c>
      <c r="F2" s="4">
        <v>0.95782100000000003</v>
      </c>
      <c r="G2" s="4">
        <v>0.92920000000000003</v>
      </c>
      <c r="H2" s="4">
        <v>0.95630000000000004</v>
      </c>
      <c r="I2" s="3"/>
    </row>
    <row r="3" spans="1:9" x14ac:dyDescent="0.3">
      <c r="A3" s="3">
        <v>2</v>
      </c>
      <c r="B3" s="3">
        <v>10</v>
      </c>
      <c r="C3" s="3">
        <v>9</v>
      </c>
      <c r="D3" s="3">
        <v>202</v>
      </c>
      <c r="E3" s="3">
        <v>348</v>
      </c>
      <c r="F3" s="4">
        <v>96.660799999999995</v>
      </c>
      <c r="G3" s="4">
        <v>0.95279999999999998</v>
      </c>
      <c r="H3" s="4">
        <v>0.95730000000000004</v>
      </c>
      <c r="I3" s="3"/>
    </row>
    <row r="4" spans="1:9" x14ac:dyDescent="0.3">
      <c r="A4" s="3">
        <v>3</v>
      </c>
      <c r="B4" s="3">
        <v>8</v>
      </c>
      <c r="C4" s="3">
        <v>15</v>
      </c>
      <c r="D4" s="3">
        <v>204</v>
      </c>
      <c r="E4" s="3">
        <v>342</v>
      </c>
      <c r="F4" s="4">
        <v>0.95957800000000004</v>
      </c>
      <c r="G4" s="4">
        <v>0.96230000000000004</v>
      </c>
      <c r="H4" s="4">
        <v>0.93149999999999999</v>
      </c>
      <c r="I4" s="3"/>
    </row>
    <row r="5" spans="1:9" x14ac:dyDescent="0.3">
      <c r="A5" s="3">
        <v>4</v>
      </c>
      <c r="B5" s="3">
        <v>7</v>
      </c>
      <c r="C5" s="3">
        <v>17</v>
      </c>
      <c r="D5" s="3">
        <v>205</v>
      </c>
      <c r="E5" s="3">
        <v>340</v>
      </c>
      <c r="F5" s="4">
        <v>0.95782100000000003</v>
      </c>
      <c r="G5" s="4">
        <v>0.96699999999999997</v>
      </c>
      <c r="H5" s="4">
        <v>0.96699999999999997</v>
      </c>
      <c r="I5" s="3"/>
    </row>
    <row r="6" spans="1:9" x14ac:dyDescent="0.3">
      <c r="A6" s="3">
        <v>5</v>
      </c>
      <c r="B6" s="3">
        <v>8</v>
      </c>
      <c r="C6" s="3">
        <v>20</v>
      </c>
      <c r="D6" s="3">
        <v>204</v>
      </c>
      <c r="E6" s="3">
        <v>337</v>
      </c>
      <c r="F6" s="4">
        <v>0.95079100000000005</v>
      </c>
      <c r="G6" s="4">
        <v>0.96230000000000004</v>
      </c>
      <c r="H6" s="4">
        <v>0.91069999999999995</v>
      </c>
      <c r="I6" s="3"/>
    </row>
    <row r="7" spans="1:9" x14ac:dyDescent="0.3">
      <c r="A7" s="3">
        <v>6</v>
      </c>
      <c r="B7" s="3">
        <v>6</v>
      </c>
      <c r="C7" s="3">
        <v>25</v>
      </c>
      <c r="D7" s="3">
        <v>206</v>
      </c>
      <c r="E7" s="3">
        <v>332</v>
      </c>
      <c r="F7" s="4">
        <v>0.94551799999999997</v>
      </c>
      <c r="G7" s="4">
        <v>0.97170000000000001</v>
      </c>
      <c r="H7" s="4">
        <v>0.89180000000000004</v>
      </c>
      <c r="I7" s="3"/>
    </row>
    <row r="8" spans="1:9" x14ac:dyDescent="0.3">
      <c r="A8" s="3">
        <v>7</v>
      </c>
      <c r="B8" s="3">
        <v>6</v>
      </c>
      <c r="C8" s="3">
        <v>30</v>
      </c>
      <c r="D8" s="3">
        <v>206</v>
      </c>
      <c r="E8" s="3">
        <v>327</v>
      </c>
      <c r="F8" s="4">
        <v>0.93673099999999998</v>
      </c>
      <c r="G8" s="6">
        <v>0.97170000000000001</v>
      </c>
      <c r="H8" s="6">
        <v>0.87290000000000001</v>
      </c>
      <c r="I8" s="5"/>
    </row>
    <row r="9" spans="1:9" x14ac:dyDescent="0.3">
      <c r="A9" s="3">
        <v>8</v>
      </c>
      <c r="B9" s="3">
        <v>5</v>
      </c>
      <c r="C9" s="3">
        <v>33</v>
      </c>
      <c r="D9" s="3">
        <v>207</v>
      </c>
      <c r="E9" s="3">
        <v>324</v>
      </c>
      <c r="F9" s="4">
        <v>0.93321600000000005</v>
      </c>
      <c r="G9" s="4">
        <v>0.97640000000000005</v>
      </c>
      <c r="H9" s="4">
        <v>0.86250000000000004</v>
      </c>
      <c r="I9" s="3"/>
    </row>
    <row r="10" spans="1:9" x14ac:dyDescent="0.3">
      <c r="A10" s="9">
        <v>9</v>
      </c>
      <c r="B10" s="7">
        <v>4</v>
      </c>
      <c r="C10" s="7">
        <v>35</v>
      </c>
      <c r="D10" s="7">
        <v>208</v>
      </c>
      <c r="E10" s="7">
        <v>322</v>
      </c>
      <c r="F10" s="8">
        <v>0.93145900000000004</v>
      </c>
      <c r="G10" s="8">
        <v>0.98109999999999997</v>
      </c>
      <c r="H10" s="8">
        <v>0.85599999999999998</v>
      </c>
      <c r="I10" s="3"/>
    </row>
    <row r="11" spans="1:9" x14ac:dyDescent="0.3">
      <c r="A11" s="5">
        <v>10</v>
      </c>
      <c r="B11" s="3">
        <v>4</v>
      </c>
      <c r="C11" s="3">
        <v>39</v>
      </c>
      <c r="D11" s="3">
        <v>208</v>
      </c>
      <c r="E11" s="3">
        <v>318</v>
      </c>
      <c r="F11" s="4">
        <v>0.92442899999999995</v>
      </c>
      <c r="G11" s="6">
        <v>0.98109999999999997</v>
      </c>
      <c r="H11" s="6">
        <v>0.84209999999999996</v>
      </c>
      <c r="I11" s="5"/>
    </row>
    <row r="12" spans="1:9" x14ac:dyDescent="0.3">
      <c r="A12" s="3">
        <v>11</v>
      </c>
      <c r="B12" s="3">
        <v>5</v>
      </c>
      <c r="C12" s="3">
        <v>38</v>
      </c>
      <c r="D12" s="3">
        <v>207</v>
      </c>
      <c r="E12" s="3">
        <v>319</v>
      </c>
      <c r="F12" s="4">
        <v>0.92442899999999995</v>
      </c>
      <c r="G12" s="4">
        <v>0.97640000000000005</v>
      </c>
      <c r="H12" s="4">
        <v>0.84489999999999998</v>
      </c>
      <c r="I12" s="3"/>
    </row>
    <row r="13" spans="1:9" x14ac:dyDescent="0.3">
      <c r="A13" s="3">
        <v>12</v>
      </c>
      <c r="B13" s="3">
        <v>5</v>
      </c>
      <c r="C13" s="3">
        <v>41</v>
      </c>
      <c r="D13" s="3">
        <v>207</v>
      </c>
      <c r="E13" s="3">
        <v>316</v>
      </c>
      <c r="F13" s="4">
        <v>0.91915599999999997</v>
      </c>
      <c r="G13" s="4">
        <v>0.97640000000000005</v>
      </c>
      <c r="H13" s="4">
        <v>0.8347</v>
      </c>
      <c r="I13" s="3"/>
    </row>
    <row r="14" spans="1:9" x14ac:dyDescent="0.3">
      <c r="A14" s="3">
        <v>13</v>
      </c>
      <c r="B14" s="3">
        <v>5</v>
      </c>
      <c r="C14" s="3">
        <v>45</v>
      </c>
      <c r="D14" s="3">
        <v>207</v>
      </c>
      <c r="E14" s="3">
        <v>312</v>
      </c>
      <c r="F14" s="4">
        <v>0.91212700000000002</v>
      </c>
      <c r="G14" s="4">
        <v>0.97640000000000005</v>
      </c>
      <c r="H14" s="4">
        <v>0.82140000000000002</v>
      </c>
      <c r="I14" s="3"/>
    </row>
    <row r="15" spans="1:9" x14ac:dyDescent="0.3">
      <c r="A15" s="3">
        <v>14</v>
      </c>
      <c r="B15" s="3">
        <v>5</v>
      </c>
      <c r="C15" s="3">
        <v>42</v>
      </c>
      <c r="D15" s="3">
        <v>207</v>
      </c>
      <c r="E15" s="3">
        <v>315</v>
      </c>
      <c r="F15" s="4">
        <v>0.91739899999999996</v>
      </c>
      <c r="G15" s="4">
        <v>0.97640000000000005</v>
      </c>
      <c r="H15" s="4">
        <v>0.83130000000000004</v>
      </c>
      <c r="I15" s="3"/>
    </row>
    <row r="16" spans="1:9" x14ac:dyDescent="0.3">
      <c r="A16" s="3">
        <v>15</v>
      </c>
      <c r="B16" s="3">
        <v>4</v>
      </c>
      <c r="C16" s="3">
        <v>45</v>
      </c>
      <c r="D16" s="3">
        <v>208</v>
      </c>
      <c r="E16" s="3">
        <v>312</v>
      </c>
      <c r="F16" s="4">
        <v>0.91388400000000003</v>
      </c>
      <c r="G16" s="4">
        <v>0.98109999999999997</v>
      </c>
      <c r="H16" s="4">
        <v>0.82210000000000005</v>
      </c>
      <c r="I16" s="3"/>
    </row>
    <row r="17" spans="1:9" x14ac:dyDescent="0.3">
      <c r="A17" s="3">
        <v>16</v>
      </c>
      <c r="B17" s="3">
        <v>4</v>
      </c>
      <c r="C17" s="3">
        <v>46</v>
      </c>
      <c r="D17" s="3">
        <v>208</v>
      </c>
      <c r="E17" s="3">
        <v>311</v>
      </c>
      <c r="F17" s="4">
        <v>0.91212700000000002</v>
      </c>
      <c r="G17" s="4">
        <v>0.98109999999999997</v>
      </c>
      <c r="H17" s="4">
        <v>0.81889999999999996</v>
      </c>
      <c r="I17" s="3"/>
    </row>
    <row r="18" spans="1:9" x14ac:dyDescent="0.3">
      <c r="A18" s="3">
        <v>17</v>
      </c>
      <c r="B18" s="3">
        <v>4</v>
      </c>
      <c r="C18" s="3">
        <v>48</v>
      </c>
      <c r="D18" s="3">
        <v>208</v>
      </c>
      <c r="E18" s="3">
        <v>309</v>
      </c>
      <c r="F18" s="4">
        <v>0.90861199999999998</v>
      </c>
      <c r="G18" s="4">
        <v>0.98109999999999997</v>
      </c>
      <c r="H18" s="4">
        <v>0.8125</v>
      </c>
      <c r="I18" s="3"/>
    </row>
    <row r="19" spans="1:9" x14ac:dyDescent="0.3">
      <c r="A19" s="3">
        <v>18</v>
      </c>
      <c r="B19" s="3">
        <v>4</v>
      </c>
      <c r="C19" s="3">
        <v>47</v>
      </c>
      <c r="D19" s="3">
        <v>208</v>
      </c>
      <c r="E19" s="3">
        <v>310</v>
      </c>
      <c r="F19" s="4">
        <v>0.91036899999999998</v>
      </c>
      <c r="G19" s="4">
        <v>0.98109999999999997</v>
      </c>
      <c r="H19" s="4">
        <v>0.81569999999999998</v>
      </c>
      <c r="I19" s="3"/>
    </row>
    <row r="20" spans="1:9" x14ac:dyDescent="0.3">
      <c r="A20" s="3">
        <v>19</v>
      </c>
      <c r="B20" s="3">
        <v>3</v>
      </c>
      <c r="C20" s="3">
        <v>46</v>
      </c>
      <c r="D20" s="3">
        <v>209</v>
      </c>
      <c r="E20" s="3">
        <v>311</v>
      </c>
      <c r="F20" s="4">
        <v>0.91388400000000003</v>
      </c>
      <c r="G20" s="4">
        <v>0.98580000000000001</v>
      </c>
      <c r="H20" s="4">
        <v>0.8196</v>
      </c>
      <c r="I20" s="3"/>
    </row>
    <row r="21" spans="1:9" x14ac:dyDescent="0.3">
      <c r="A21" s="3">
        <v>20</v>
      </c>
      <c r="B21" s="3">
        <v>5</v>
      </c>
      <c r="C21" s="3">
        <v>49</v>
      </c>
      <c r="D21" s="3">
        <v>207</v>
      </c>
      <c r="E21" s="3">
        <v>308</v>
      </c>
      <c r="F21" s="4">
        <v>0.90509700000000004</v>
      </c>
      <c r="G21" s="4">
        <v>0.97640000000000005</v>
      </c>
      <c r="H21" s="4">
        <v>0.80859999999999999</v>
      </c>
      <c r="I21" s="3"/>
    </row>
    <row r="22" spans="1:9" x14ac:dyDescent="0.3">
      <c r="A22" s="3">
        <v>21</v>
      </c>
      <c r="B22" s="3">
        <v>5</v>
      </c>
      <c r="C22" s="3">
        <v>54</v>
      </c>
      <c r="D22" s="3">
        <v>207</v>
      </c>
      <c r="E22" s="3">
        <v>303</v>
      </c>
      <c r="F22" s="4">
        <v>0.89630900000000002</v>
      </c>
      <c r="G22" s="4">
        <v>0.97640000000000005</v>
      </c>
      <c r="H22" s="4">
        <v>0.79310000000000003</v>
      </c>
      <c r="I22" s="3"/>
    </row>
    <row r="23" spans="1:9" x14ac:dyDescent="0.3">
      <c r="A23" s="3">
        <v>22</v>
      </c>
      <c r="B23" s="3">
        <v>4</v>
      </c>
      <c r="C23" s="3">
        <v>58</v>
      </c>
      <c r="D23" s="3">
        <v>208</v>
      </c>
      <c r="E23" s="3">
        <v>299</v>
      </c>
      <c r="F23" s="4">
        <v>0.89103699999999997</v>
      </c>
      <c r="G23" s="4">
        <v>0.98109999999999997</v>
      </c>
      <c r="H23" s="4">
        <v>0.78200000000000003</v>
      </c>
      <c r="I23" s="3"/>
    </row>
    <row r="24" spans="1:9" x14ac:dyDescent="0.3">
      <c r="A24" s="3">
        <v>23</v>
      </c>
      <c r="B24" s="3">
        <v>4</v>
      </c>
      <c r="C24" s="3">
        <v>54</v>
      </c>
      <c r="D24" s="3">
        <v>208</v>
      </c>
      <c r="E24" s="3">
        <v>303</v>
      </c>
      <c r="F24" s="4">
        <v>0.89806699999999995</v>
      </c>
      <c r="G24" s="4">
        <v>0.98109999999999997</v>
      </c>
      <c r="H24" s="4">
        <v>0.79390000000000005</v>
      </c>
      <c r="I24" s="3"/>
    </row>
    <row r="25" spans="1:9" x14ac:dyDescent="0.3">
      <c r="A25" s="3">
        <v>24</v>
      </c>
      <c r="B25" s="3">
        <v>3</v>
      </c>
      <c r="C25" s="3">
        <v>56</v>
      </c>
      <c r="D25" s="3">
        <v>209</v>
      </c>
      <c r="E25" s="3">
        <v>301</v>
      </c>
      <c r="F25" s="4">
        <v>0.89630900000000002</v>
      </c>
      <c r="G25" s="4">
        <v>0.98580000000000001</v>
      </c>
      <c r="H25" s="4">
        <v>0.78869999999999996</v>
      </c>
      <c r="I25" s="3"/>
    </row>
    <row r="26" spans="1:9" x14ac:dyDescent="0.3">
      <c r="A26" s="3">
        <v>25</v>
      </c>
      <c r="B26" s="3">
        <v>4</v>
      </c>
      <c r="C26" s="3">
        <v>57</v>
      </c>
      <c r="D26" s="3">
        <v>208</v>
      </c>
      <c r="E26" s="3">
        <v>300</v>
      </c>
      <c r="F26" s="4">
        <v>0.89279399999999998</v>
      </c>
      <c r="G26" s="4">
        <v>0.98109999999999997</v>
      </c>
      <c r="H26" s="4">
        <v>0.78490000000000004</v>
      </c>
      <c r="I26" s="3"/>
    </row>
    <row r="27" spans="1:9" x14ac:dyDescent="0.3">
      <c r="A27" s="3">
        <v>26</v>
      </c>
      <c r="B27" s="3">
        <v>3</v>
      </c>
      <c r="C27" s="3">
        <v>58</v>
      </c>
      <c r="D27" s="3">
        <v>209</v>
      </c>
      <c r="E27" s="3">
        <v>299</v>
      </c>
      <c r="F27" s="4">
        <v>0.89279399999999998</v>
      </c>
      <c r="G27" s="4">
        <v>0.98580000000000001</v>
      </c>
      <c r="H27" s="4">
        <v>0.78280000000000005</v>
      </c>
      <c r="I27" s="3"/>
    </row>
    <row r="28" spans="1:9" x14ac:dyDescent="0.3">
      <c r="A28" s="3">
        <v>27</v>
      </c>
      <c r="B28" s="3">
        <v>4</v>
      </c>
      <c r="C28" s="3">
        <v>64</v>
      </c>
      <c r="D28" s="3">
        <v>208</v>
      </c>
      <c r="E28" s="3">
        <v>293</v>
      </c>
      <c r="F28" s="4">
        <v>0.88049200000000005</v>
      </c>
      <c r="G28" s="4">
        <v>0.98109999999999997</v>
      </c>
      <c r="H28" s="4">
        <v>0.76470000000000005</v>
      </c>
      <c r="I28" s="3"/>
    </row>
    <row r="29" spans="1:9" x14ac:dyDescent="0.3">
      <c r="A29" s="3">
        <v>28</v>
      </c>
      <c r="B29" s="3">
        <v>4</v>
      </c>
      <c r="C29" s="3">
        <v>62</v>
      </c>
      <c r="D29" s="3">
        <v>208</v>
      </c>
      <c r="E29" s="3">
        <v>295</v>
      </c>
      <c r="F29" s="4">
        <v>0.88400699999999999</v>
      </c>
      <c r="G29" s="4">
        <v>0.98109999999999997</v>
      </c>
      <c r="H29" s="4">
        <v>0.77039999999999997</v>
      </c>
      <c r="I29" s="3"/>
    </row>
    <row r="30" spans="1:9" x14ac:dyDescent="0.3">
      <c r="A30" s="3">
        <v>29</v>
      </c>
      <c r="B30" s="3">
        <v>4</v>
      </c>
      <c r="C30" s="3">
        <v>61</v>
      </c>
      <c r="D30" s="3">
        <v>208</v>
      </c>
      <c r="E30" s="3">
        <v>296</v>
      </c>
      <c r="F30" s="4">
        <v>0.885764</v>
      </c>
      <c r="G30" s="4">
        <v>0.98109999999999997</v>
      </c>
      <c r="H30" s="4">
        <v>0.7732</v>
      </c>
      <c r="I30" s="3"/>
    </row>
    <row r="31" spans="1:9" x14ac:dyDescent="0.3">
      <c r="A31" s="3">
        <v>30</v>
      </c>
      <c r="B31" s="3">
        <v>4</v>
      </c>
      <c r="C31" s="3">
        <v>66</v>
      </c>
      <c r="D31" s="3">
        <v>208</v>
      </c>
      <c r="E31" s="3">
        <v>291</v>
      </c>
      <c r="F31" s="4">
        <v>0.87697700000000001</v>
      </c>
      <c r="G31" s="4">
        <v>0.98109999999999997</v>
      </c>
      <c r="H31" s="4">
        <v>0.7591</v>
      </c>
      <c r="I31" s="3"/>
    </row>
    <row r="32" spans="1:9" x14ac:dyDescent="0.3">
      <c r="A32" s="3">
        <v>31</v>
      </c>
      <c r="B32" s="3">
        <v>2</v>
      </c>
      <c r="C32" s="3">
        <v>65</v>
      </c>
      <c r="D32" s="3">
        <v>210</v>
      </c>
      <c r="E32" s="3">
        <v>292</v>
      </c>
      <c r="F32" s="4">
        <v>0.88224999999999998</v>
      </c>
      <c r="G32" s="4">
        <v>0.99060000000000004</v>
      </c>
      <c r="H32" s="4">
        <v>0.76359999999999995</v>
      </c>
      <c r="I32" s="3"/>
    </row>
    <row r="33" spans="1:9" x14ac:dyDescent="0.3">
      <c r="A33" s="3">
        <v>32</v>
      </c>
      <c r="B33" s="3">
        <v>2</v>
      </c>
      <c r="C33" s="3">
        <v>71</v>
      </c>
      <c r="D33" s="3">
        <v>210</v>
      </c>
      <c r="E33" s="3">
        <v>286</v>
      </c>
      <c r="F33" s="4">
        <v>0.87170499999999995</v>
      </c>
      <c r="G33" s="4">
        <v>0.99060000000000004</v>
      </c>
      <c r="H33" s="4">
        <v>0.74729999999999996</v>
      </c>
      <c r="I33" s="3"/>
    </row>
    <row r="34" spans="1:9" x14ac:dyDescent="0.3">
      <c r="A34" s="3">
        <v>33</v>
      </c>
      <c r="B34" s="3">
        <v>3</v>
      </c>
      <c r="C34" s="3">
        <v>68</v>
      </c>
      <c r="D34" s="3">
        <v>209</v>
      </c>
      <c r="E34" s="3">
        <v>289</v>
      </c>
      <c r="F34" s="4">
        <v>0.87522</v>
      </c>
      <c r="G34" s="4">
        <v>0.98580000000000001</v>
      </c>
      <c r="H34" s="4">
        <v>0.75449999999999995</v>
      </c>
      <c r="I34" s="3"/>
    </row>
    <row r="35" spans="1:9" x14ac:dyDescent="0.3">
      <c r="A35" s="3">
        <v>34</v>
      </c>
      <c r="B35" s="3">
        <v>2</v>
      </c>
      <c r="C35" s="3">
        <v>72</v>
      </c>
      <c r="D35" s="3">
        <v>210</v>
      </c>
      <c r="E35" s="3">
        <v>285</v>
      </c>
      <c r="F35" s="4">
        <v>0.86994700000000003</v>
      </c>
      <c r="G35" s="4">
        <v>0.99060000000000004</v>
      </c>
      <c r="H35" s="4">
        <v>0.74470000000000003</v>
      </c>
      <c r="I35" s="3"/>
    </row>
    <row r="36" spans="1:9" x14ac:dyDescent="0.3">
      <c r="A36" s="3">
        <v>35</v>
      </c>
      <c r="B36" s="3">
        <v>2</v>
      </c>
      <c r="C36" s="3">
        <v>75</v>
      </c>
      <c r="D36" s="3">
        <v>210</v>
      </c>
      <c r="E36" s="3">
        <v>282</v>
      </c>
      <c r="F36" s="4">
        <v>0.86467499999999997</v>
      </c>
      <c r="G36" s="4">
        <v>0.99060000000000004</v>
      </c>
      <c r="H36" s="4">
        <v>0.73680000000000001</v>
      </c>
      <c r="I36" s="3"/>
    </row>
    <row r="37" spans="1:9" x14ac:dyDescent="0.3">
      <c r="A37" s="3">
        <v>92</v>
      </c>
      <c r="B37" s="3">
        <v>1</v>
      </c>
      <c r="C37" s="3">
        <v>137</v>
      </c>
      <c r="D37" s="3">
        <v>211</v>
      </c>
      <c r="E37" s="3">
        <v>220</v>
      </c>
      <c r="F37" s="4">
        <v>0.75746899999999995</v>
      </c>
      <c r="G37" s="4">
        <v>0.99529999999999996</v>
      </c>
      <c r="H37" s="4">
        <v>0.60629999999999995</v>
      </c>
      <c r="I37" s="3"/>
    </row>
    <row r="38" spans="1:9" x14ac:dyDescent="0.3">
      <c r="A38" s="3">
        <v>242</v>
      </c>
      <c r="B38" s="3">
        <v>0</v>
      </c>
      <c r="C38" s="3">
        <v>265</v>
      </c>
      <c r="D38" s="3">
        <v>212</v>
      </c>
      <c r="E38" s="3">
        <v>92</v>
      </c>
      <c r="F38" s="4">
        <v>0.53427100000000005</v>
      </c>
      <c r="G38" s="4">
        <v>1</v>
      </c>
      <c r="H38" s="4">
        <v>0.44440000000000002</v>
      </c>
      <c r="I38" s="3"/>
    </row>
    <row r="39" spans="1:9" x14ac:dyDescent="0.3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3">
      <c r="I40" s="3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31AB-A315-42F5-962A-306D3629B8E9}">
  <dimension ref="A1:H32"/>
  <sheetViews>
    <sheetView topLeftCell="A18" workbookViewId="0">
      <selection activeCell="I5" sqref="I5"/>
    </sheetView>
  </sheetViews>
  <sheetFormatPr defaultColWidth="9.109375" defaultRowHeight="14.4" x14ac:dyDescent="0.3"/>
  <cols>
    <col min="1" max="1" width="16.33203125" bestFit="1" customWidth="1"/>
    <col min="2" max="2" width="16" bestFit="1" customWidth="1"/>
    <col min="3" max="3" width="15.33203125" bestFit="1" customWidth="1"/>
    <col min="4" max="4" width="14.44140625" bestFit="1" customWidth="1"/>
    <col min="5" max="5" width="15.109375" bestFit="1" customWidth="1"/>
    <col min="6" max="6" width="11.44140625" bestFit="1" customWidth="1"/>
    <col min="7" max="7" width="8.6640625" bestFit="1" customWidth="1"/>
    <col min="8" max="8" width="11.44140625" bestFit="1" customWidth="1"/>
    <col min="10" max="10" width="11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3">
        <v>1</v>
      </c>
      <c r="B2" s="3">
        <v>15</v>
      </c>
      <c r="C2" s="3">
        <v>23</v>
      </c>
      <c r="D2" s="3">
        <v>197</v>
      </c>
      <c r="E2" s="3">
        <v>334</v>
      </c>
      <c r="F2" s="4">
        <v>0.93321600000000005</v>
      </c>
      <c r="G2" s="4">
        <v>0.92920000000000003</v>
      </c>
      <c r="H2" s="4">
        <v>0.89549999999999996</v>
      </c>
    </row>
    <row r="3" spans="1:8" x14ac:dyDescent="0.3">
      <c r="A3" s="3">
        <v>2</v>
      </c>
      <c r="B3" s="3">
        <v>13</v>
      </c>
      <c r="C3" s="3">
        <v>18</v>
      </c>
      <c r="D3" s="3">
        <v>199</v>
      </c>
      <c r="E3" s="3">
        <v>339</v>
      </c>
      <c r="F3" s="4">
        <v>0.94551799999999997</v>
      </c>
      <c r="G3" s="4">
        <v>0.93869999999999998</v>
      </c>
      <c r="H3" s="4">
        <v>0.91710000000000003</v>
      </c>
    </row>
    <row r="4" spans="1:8" x14ac:dyDescent="0.3">
      <c r="A4" s="3">
        <v>3</v>
      </c>
      <c r="B4" s="3">
        <v>16</v>
      </c>
      <c r="C4" s="3">
        <v>20</v>
      </c>
      <c r="D4" s="3">
        <v>196</v>
      </c>
      <c r="E4" s="3">
        <v>337</v>
      </c>
      <c r="F4" s="4">
        <v>0.93673099999999998</v>
      </c>
      <c r="G4" s="4">
        <v>0.92449999999999999</v>
      </c>
      <c r="H4" s="4">
        <v>0.90739999999999998</v>
      </c>
    </row>
    <row r="5" spans="1:8" x14ac:dyDescent="0.3">
      <c r="A5" s="3">
        <v>4</v>
      </c>
      <c r="B5" s="3">
        <v>13</v>
      </c>
      <c r="C5" s="3">
        <v>23</v>
      </c>
      <c r="D5" s="3">
        <v>199</v>
      </c>
      <c r="E5" s="3">
        <v>334</v>
      </c>
      <c r="F5" s="4">
        <v>0.93673099999999998</v>
      </c>
      <c r="G5" s="4">
        <v>0.93869999999999998</v>
      </c>
      <c r="H5" s="4">
        <v>0.93869999999999998</v>
      </c>
    </row>
    <row r="6" spans="1:8" x14ac:dyDescent="0.3">
      <c r="A6" s="3">
        <v>5</v>
      </c>
      <c r="B6" s="3">
        <v>9</v>
      </c>
      <c r="C6" s="3">
        <v>25</v>
      </c>
      <c r="D6" s="3">
        <v>203</v>
      </c>
      <c r="E6" s="3">
        <v>332</v>
      </c>
      <c r="F6" s="4">
        <v>0.94024600000000003</v>
      </c>
      <c r="G6" s="4">
        <v>0.95750000000000002</v>
      </c>
      <c r="H6" s="4">
        <v>0.89039999999999997</v>
      </c>
    </row>
    <row r="7" spans="1:8" x14ac:dyDescent="0.3">
      <c r="A7" s="3">
        <v>6</v>
      </c>
      <c r="B7" s="3">
        <v>10</v>
      </c>
      <c r="C7" s="3">
        <v>24</v>
      </c>
      <c r="D7" s="3">
        <v>202</v>
      </c>
      <c r="E7" s="3">
        <v>333</v>
      </c>
      <c r="F7" s="4">
        <v>0.94024600000000003</v>
      </c>
      <c r="G7" s="4">
        <v>0.95279999999999998</v>
      </c>
      <c r="H7" s="4">
        <v>0.89380000000000004</v>
      </c>
    </row>
    <row r="8" spans="1:8" x14ac:dyDescent="0.3">
      <c r="A8" s="3">
        <v>7</v>
      </c>
      <c r="B8" s="3">
        <v>10</v>
      </c>
      <c r="C8" s="3">
        <v>32</v>
      </c>
      <c r="D8" s="3">
        <v>202</v>
      </c>
      <c r="E8" s="3">
        <v>325</v>
      </c>
      <c r="F8" s="4">
        <v>0.92618599999999995</v>
      </c>
      <c r="G8" s="6">
        <v>0.95279999999999998</v>
      </c>
      <c r="H8" s="6">
        <v>0.86319999999999997</v>
      </c>
    </row>
    <row r="9" spans="1:8" x14ac:dyDescent="0.3">
      <c r="A9" s="3">
        <v>8</v>
      </c>
      <c r="B9" s="3">
        <v>11</v>
      </c>
      <c r="C9" s="3">
        <v>32</v>
      </c>
      <c r="D9" s="3">
        <v>201</v>
      </c>
      <c r="E9" s="3">
        <v>325</v>
      </c>
      <c r="F9" s="4">
        <v>0.92442899999999995</v>
      </c>
      <c r="G9" s="4">
        <v>0.94810000000000005</v>
      </c>
      <c r="H9" s="4">
        <v>0.86270000000000002</v>
      </c>
    </row>
    <row r="10" spans="1:8" x14ac:dyDescent="0.3">
      <c r="A10" s="3">
        <v>9</v>
      </c>
      <c r="B10" s="3">
        <v>8</v>
      </c>
      <c r="C10" s="3">
        <v>34</v>
      </c>
      <c r="D10" s="3">
        <v>204</v>
      </c>
      <c r="E10" s="3">
        <v>323</v>
      </c>
      <c r="F10" s="4">
        <v>0.92618599999999995</v>
      </c>
      <c r="G10" s="4">
        <v>0.96230000000000004</v>
      </c>
      <c r="H10" s="4">
        <v>0.85709999999999997</v>
      </c>
    </row>
    <row r="11" spans="1:8" x14ac:dyDescent="0.3">
      <c r="A11" s="9">
        <v>10</v>
      </c>
      <c r="B11" s="7">
        <v>6</v>
      </c>
      <c r="C11" s="7">
        <v>36</v>
      </c>
      <c r="D11" s="7">
        <v>206</v>
      </c>
      <c r="E11" s="7">
        <v>321</v>
      </c>
      <c r="F11" s="8">
        <v>0.92618599999999995</v>
      </c>
      <c r="G11" s="8">
        <v>0.97170000000000001</v>
      </c>
      <c r="H11" s="8">
        <v>0.85119999999999996</v>
      </c>
    </row>
    <row r="12" spans="1:8" x14ac:dyDescent="0.3">
      <c r="A12" s="3">
        <v>11</v>
      </c>
      <c r="B12" s="3">
        <v>6</v>
      </c>
      <c r="C12" s="3">
        <v>40</v>
      </c>
      <c r="D12" s="3">
        <v>206</v>
      </c>
      <c r="E12" s="3">
        <v>317</v>
      </c>
      <c r="F12" s="4">
        <v>0.91915599999999997</v>
      </c>
      <c r="G12" s="4">
        <v>0.97170000000000001</v>
      </c>
      <c r="H12" s="4">
        <v>0.83740000000000003</v>
      </c>
    </row>
    <row r="13" spans="1:8" x14ac:dyDescent="0.3">
      <c r="A13" s="3">
        <v>12</v>
      </c>
      <c r="B13" s="3">
        <v>6</v>
      </c>
      <c r="C13" s="3">
        <v>41</v>
      </c>
      <c r="D13" s="3">
        <v>206</v>
      </c>
      <c r="E13" s="3">
        <v>316</v>
      </c>
      <c r="F13" s="4">
        <v>0.91739899999999996</v>
      </c>
      <c r="G13" s="4">
        <v>0.97170000000000001</v>
      </c>
      <c r="H13" s="4">
        <v>0.83399999999999996</v>
      </c>
    </row>
    <row r="14" spans="1:8" x14ac:dyDescent="0.3">
      <c r="A14" s="3">
        <v>13</v>
      </c>
      <c r="B14" s="3">
        <v>6</v>
      </c>
      <c r="C14" s="3">
        <v>43</v>
      </c>
      <c r="D14" s="3">
        <v>206</v>
      </c>
      <c r="E14" s="3">
        <v>314</v>
      </c>
      <c r="F14" s="4">
        <v>0.91388400000000003</v>
      </c>
      <c r="G14" s="4">
        <v>0.97170000000000001</v>
      </c>
      <c r="H14" s="4">
        <v>0.82730000000000004</v>
      </c>
    </row>
    <row r="15" spans="1:8" x14ac:dyDescent="0.3">
      <c r="A15" s="3">
        <v>14</v>
      </c>
      <c r="B15" s="3">
        <v>7</v>
      </c>
      <c r="C15" s="3">
        <v>44</v>
      </c>
      <c r="D15" s="3">
        <v>205</v>
      </c>
      <c r="E15" s="3">
        <v>313</v>
      </c>
      <c r="F15" s="4">
        <v>0.91036899999999998</v>
      </c>
      <c r="G15" s="4">
        <v>0.96699999999999997</v>
      </c>
      <c r="H15" s="4">
        <v>0.82330000000000003</v>
      </c>
    </row>
    <row r="16" spans="1:8" x14ac:dyDescent="0.3">
      <c r="A16" s="3">
        <v>15</v>
      </c>
      <c r="B16" s="3">
        <v>7</v>
      </c>
      <c r="C16" s="3">
        <v>42</v>
      </c>
      <c r="D16" s="3">
        <v>205</v>
      </c>
      <c r="E16" s="3">
        <v>315</v>
      </c>
      <c r="F16" s="4">
        <v>0.91388400000000003</v>
      </c>
      <c r="G16" s="4">
        <v>0.96699999999999997</v>
      </c>
      <c r="H16" s="4">
        <v>0.83</v>
      </c>
    </row>
    <row r="17" spans="1:8" x14ac:dyDescent="0.3">
      <c r="A17" s="3">
        <v>16</v>
      </c>
      <c r="B17" s="3">
        <v>6</v>
      </c>
      <c r="C17" s="3">
        <v>43</v>
      </c>
      <c r="D17" s="3">
        <v>206</v>
      </c>
      <c r="E17" s="3">
        <v>314</v>
      </c>
      <c r="F17" s="4">
        <v>0.91388400000000003</v>
      </c>
      <c r="G17" s="4">
        <v>0.97170000000000001</v>
      </c>
      <c r="H17" s="4">
        <v>0.82730000000000004</v>
      </c>
    </row>
    <row r="18" spans="1:8" x14ac:dyDescent="0.3">
      <c r="A18" s="3">
        <v>17</v>
      </c>
      <c r="B18" s="3">
        <v>8</v>
      </c>
      <c r="C18" s="3">
        <v>44</v>
      </c>
      <c r="D18" s="3">
        <v>204</v>
      </c>
      <c r="E18" s="3">
        <v>313</v>
      </c>
      <c r="F18" s="4">
        <v>0.90861199999999998</v>
      </c>
      <c r="G18" s="4">
        <v>0.96230000000000004</v>
      </c>
      <c r="H18" s="4">
        <v>0.8226</v>
      </c>
    </row>
    <row r="19" spans="1:8" x14ac:dyDescent="0.3">
      <c r="A19" s="3">
        <v>18</v>
      </c>
      <c r="B19" s="3">
        <v>6</v>
      </c>
      <c r="C19" s="3">
        <v>53</v>
      </c>
      <c r="D19" s="3">
        <v>206</v>
      </c>
      <c r="E19" s="3">
        <v>304</v>
      </c>
      <c r="F19" s="4">
        <v>0.89630900000000002</v>
      </c>
      <c r="G19" s="4">
        <v>0.97170000000000001</v>
      </c>
      <c r="H19" s="4">
        <v>0.7954</v>
      </c>
    </row>
    <row r="20" spans="1:8" x14ac:dyDescent="0.3">
      <c r="A20" s="3">
        <v>19</v>
      </c>
      <c r="B20" s="3">
        <v>7</v>
      </c>
      <c r="C20" s="3">
        <v>57</v>
      </c>
      <c r="D20" s="3">
        <v>205</v>
      </c>
      <c r="E20" s="3">
        <v>300</v>
      </c>
      <c r="F20" s="4">
        <v>0.88752200000000003</v>
      </c>
      <c r="G20" s="4">
        <v>0.96699999999999997</v>
      </c>
      <c r="H20" s="4">
        <v>0.78239999999999998</v>
      </c>
    </row>
    <row r="21" spans="1:8" x14ac:dyDescent="0.3">
      <c r="A21" s="3">
        <v>20</v>
      </c>
      <c r="B21" s="3">
        <v>7</v>
      </c>
      <c r="C21" s="3">
        <v>56</v>
      </c>
      <c r="D21" s="3">
        <v>205</v>
      </c>
      <c r="E21" s="3">
        <v>301</v>
      </c>
      <c r="F21" s="4">
        <v>0.88927900000000004</v>
      </c>
      <c r="G21" s="4">
        <v>0.96699999999999997</v>
      </c>
      <c r="H21" s="4">
        <v>0.78539999999999999</v>
      </c>
    </row>
    <row r="22" spans="1:8" x14ac:dyDescent="0.3">
      <c r="A22" s="3">
        <v>25</v>
      </c>
      <c r="B22" s="3">
        <v>7</v>
      </c>
      <c r="C22" s="3">
        <v>63</v>
      </c>
      <c r="D22" s="3">
        <v>205</v>
      </c>
      <c r="E22" s="3">
        <v>294</v>
      </c>
      <c r="F22" s="4">
        <v>0.87697700000000001</v>
      </c>
      <c r="G22" s="4">
        <v>0.96699999999999997</v>
      </c>
      <c r="H22" s="4">
        <v>0.76490000000000002</v>
      </c>
    </row>
    <row r="23" spans="1:8" x14ac:dyDescent="0.3">
      <c r="A23" s="3">
        <v>30</v>
      </c>
      <c r="B23" s="3">
        <v>6</v>
      </c>
      <c r="C23" s="3">
        <v>94</v>
      </c>
      <c r="D23" s="3">
        <v>206</v>
      </c>
      <c r="E23" s="3">
        <v>263</v>
      </c>
      <c r="F23" s="4">
        <v>0.82425300000000001</v>
      </c>
      <c r="G23" s="4">
        <v>0.97170000000000001</v>
      </c>
      <c r="H23" s="4">
        <v>0.68669999999999998</v>
      </c>
    </row>
    <row r="24" spans="1:8" x14ac:dyDescent="0.3">
      <c r="A24" s="3">
        <v>35</v>
      </c>
      <c r="B24" s="3">
        <v>6</v>
      </c>
      <c r="C24" s="3">
        <v>89</v>
      </c>
      <c r="D24" s="3">
        <v>206</v>
      </c>
      <c r="E24" s="3">
        <v>268</v>
      </c>
      <c r="F24" s="4">
        <v>0.83304</v>
      </c>
      <c r="G24" s="4">
        <v>0.97170000000000001</v>
      </c>
      <c r="H24" s="4">
        <v>0.69830000000000003</v>
      </c>
    </row>
    <row r="25" spans="1:8" x14ac:dyDescent="0.3">
      <c r="A25" s="3">
        <v>40</v>
      </c>
      <c r="B25" s="3">
        <v>4</v>
      </c>
      <c r="C25" s="3">
        <v>106</v>
      </c>
      <c r="D25" s="3">
        <v>208</v>
      </c>
      <c r="E25" s="3">
        <v>251</v>
      </c>
      <c r="F25" s="4">
        <v>0.80667800000000001</v>
      </c>
      <c r="G25" s="4">
        <v>0.98109999999999997</v>
      </c>
      <c r="H25" s="4">
        <v>0.66239999999999999</v>
      </c>
    </row>
    <row r="26" spans="1:8" x14ac:dyDescent="0.3">
      <c r="A26" s="3">
        <v>45</v>
      </c>
      <c r="B26" s="3">
        <v>3</v>
      </c>
      <c r="C26" s="3">
        <v>114</v>
      </c>
      <c r="D26" s="3">
        <v>209</v>
      </c>
      <c r="E26" s="3">
        <v>243</v>
      </c>
      <c r="F26" s="4">
        <v>0.79437599999999997</v>
      </c>
      <c r="G26" s="4">
        <v>0.98580000000000001</v>
      </c>
      <c r="H26" s="4">
        <v>0.64710000000000001</v>
      </c>
    </row>
    <row r="27" spans="1:8" x14ac:dyDescent="0.3">
      <c r="A27" s="3">
        <v>50</v>
      </c>
      <c r="B27" s="3">
        <v>4</v>
      </c>
      <c r="C27" s="3">
        <v>108</v>
      </c>
      <c r="D27" s="3">
        <v>208</v>
      </c>
      <c r="E27" s="3">
        <v>249</v>
      </c>
      <c r="F27" s="4">
        <v>0.80316299999999996</v>
      </c>
      <c r="G27" s="4">
        <v>0.98109999999999997</v>
      </c>
      <c r="H27" s="4">
        <v>0.65820000000000001</v>
      </c>
    </row>
    <row r="28" spans="1:8" x14ac:dyDescent="0.3">
      <c r="A28" s="3">
        <v>100</v>
      </c>
      <c r="B28" s="3">
        <v>3</v>
      </c>
      <c r="C28" s="3">
        <v>157</v>
      </c>
      <c r="D28" s="3">
        <v>209</v>
      </c>
      <c r="E28" s="3">
        <v>200</v>
      </c>
      <c r="F28" s="4">
        <v>0.71880500000000003</v>
      </c>
      <c r="G28" s="4">
        <v>0.98580000000000001</v>
      </c>
      <c r="H28" s="4">
        <v>0.57099999999999995</v>
      </c>
    </row>
    <row r="29" spans="1:8" x14ac:dyDescent="0.3">
      <c r="A29" s="3">
        <v>270</v>
      </c>
      <c r="B29" s="3">
        <v>3</v>
      </c>
      <c r="C29" s="3">
        <v>305</v>
      </c>
      <c r="D29" s="3">
        <v>209</v>
      </c>
      <c r="E29" s="3">
        <v>52</v>
      </c>
      <c r="F29" s="4">
        <v>0.45869900000000002</v>
      </c>
      <c r="G29" s="4">
        <v>0.98580000000000001</v>
      </c>
      <c r="H29" s="4">
        <v>0.40660000000000002</v>
      </c>
    </row>
    <row r="30" spans="1:8" x14ac:dyDescent="0.3">
      <c r="A30" s="3">
        <v>272</v>
      </c>
      <c r="B30" s="3">
        <v>3</v>
      </c>
      <c r="C30" s="3">
        <v>305</v>
      </c>
      <c r="D30" s="3">
        <v>209</v>
      </c>
      <c r="E30" s="3">
        <v>52</v>
      </c>
      <c r="F30" s="4">
        <v>0.4587</v>
      </c>
      <c r="G30" s="4">
        <v>0.98580000000000001</v>
      </c>
      <c r="H30" s="4">
        <v>0.40660000000000002</v>
      </c>
    </row>
    <row r="31" spans="1:8" x14ac:dyDescent="0.3">
      <c r="A31" s="3">
        <v>272.012</v>
      </c>
      <c r="B31" s="3">
        <v>1</v>
      </c>
      <c r="C31" s="3">
        <v>331</v>
      </c>
      <c r="D31" s="3">
        <v>211</v>
      </c>
      <c r="E31" s="3">
        <v>26</v>
      </c>
      <c r="F31" s="4">
        <v>0.41649999999999998</v>
      </c>
      <c r="G31" s="4">
        <v>0.99529999999999996</v>
      </c>
      <c r="H31" s="4">
        <v>0.38929999999999998</v>
      </c>
    </row>
    <row r="32" spans="1:8" x14ac:dyDescent="0.3">
      <c r="A32" s="3">
        <v>272.01859999999999</v>
      </c>
      <c r="B32" s="3">
        <v>0</v>
      </c>
      <c r="C32" s="3">
        <v>357</v>
      </c>
      <c r="D32" s="3">
        <v>212</v>
      </c>
      <c r="E32" s="3">
        <v>0</v>
      </c>
      <c r="F32" s="4">
        <v>0.37259999999999999</v>
      </c>
      <c r="G32" s="4">
        <v>1</v>
      </c>
      <c r="H32" s="4">
        <v>0.37259999999999999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4415-91D0-4C33-84BC-5309DC889670}">
  <dimension ref="A1:H34"/>
  <sheetViews>
    <sheetView topLeftCell="A11" workbookViewId="0">
      <selection activeCell="K11" sqref="K11"/>
    </sheetView>
  </sheetViews>
  <sheetFormatPr defaultColWidth="11.44140625" defaultRowHeight="14.4" x14ac:dyDescent="0.3"/>
  <cols>
    <col min="1" max="1" width="16.33203125" bestFit="1" customWidth="1"/>
    <col min="2" max="2" width="16" bestFit="1" customWidth="1"/>
    <col min="3" max="3" width="15.33203125" bestFit="1" customWidth="1"/>
    <col min="4" max="4" width="14.44140625" bestFit="1" customWidth="1"/>
    <col min="5" max="5" width="15.109375" bestFit="1" customWidth="1"/>
    <col min="6" max="6" width="11.44140625" bestFit="1" customWidth="1"/>
    <col min="7" max="7" width="8.6640625" bestFit="1" customWidth="1"/>
    <col min="8" max="8" width="11.44140625" bestFit="1" customWidth="1"/>
  </cols>
  <sheetData>
    <row r="1" spans="1:8" x14ac:dyDescent="0.3">
      <c r="A1" s="11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 spans="1:8" x14ac:dyDescent="0.3">
      <c r="A2" s="15">
        <v>1</v>
      </c>
      <c r="B2" s="16">
        <v>22</v>
      </c>
      <c r="C2" s="16">
        <v>18</v>
      </c>
      <c r="D2" s="16">
        <v>190</v>
      </c>
      <c r="E2" s="16">
        <v>339</v>
      </c>
      <c r="F2" s="17">
        <v>92.970100000000002</v>
      </c>
      <c r="G2" s="17">
        <f t="shared" ref="G2:G34" si="0">D2/(D2+B2)</f>
        <v>0.89622641509433965</v>
      </c>
      <c r="H2" s="18">
        <f t="shared" ref="H2:H34" si="1">D2/(D2+C2)</f>
        <v>0.91346153846153844</v>
      </c>
    </row>
    <row r="3" spans="1:8" x14ac:dyDescent="0.3">
      <c r="A3" s="19">
        <v>2</v>
      </c>
      <c r="B3" s="20">
        <v>21</v>
      </c>
      <c r="C3" s="20">
        <v>19</v>
      </c>
      <c r="D3" s="20">
        <v>191</v>
      </c>
      <c r="E3" s="20">
        <v>338</v>
      </c>
      <c r="F3" s="21">
        <v>92.970100000000002</v>
      </c>
      <c r="G3" s="21">
        <f t="shared" si="0"/>
        <v>0.90094339622641506</v>
      </c>
      <c r="H3" s="22">
        <f t="shared" si="1"/>
        <v>0.90952380952380951</v>
      </c>
    </row>
    <row r="4" spans="1:8" x14ac:dyDescent="0.3">
      <c r="A4" s="15">
        <v>3</v>
      </c>
      <c r="B4" s="16">
        <v>21</v>
      </c>
      <c r="C4" s="16">
        <v>19</v>
      </c>
      <c r="D4" s="16">
        <v>191</v>
      </c>
      <c r="E4" s="16">
        <v>338</v>
      </c>
      <c r="F4" s="17">
        <v>92.970100000000002</v>
      </c>
      <c r="G4" s="17">
        <f t="shared" si="0"/>
        <v>0.90094339622641506</v>
      </c>
      <c r="H4" s="18">
        <f t="shared" si="1"/>
        <v>0.90952380952380951</v>
      </c>
    </row>
    <row r="5" spans="1:8" x14ac:dyDescent="0.3">
      <c r="A5" s="19">
        <v>4</v>
      </c>
      <c r="B5" s="20">
        <v>21</v>
      </c>
      <c r="C5" s="20">
        <v>19</v>
      </c>
      <c r="D5" s="20">
        <v>191</v>
      </c>
      <c r="E5" s="20">
        <v>338</v>
      </c>
      <c r="F5" s="21">
        <v>92.970100000000002</v>
      </c>
      <c r="G5" s="21">
        <f t="shared" si="0"/>
        <v>0.90094339622641506</v>
      </c>
      <c r="H5" s="22">
        <f t="shared" si="1"/>
        <v>0.90952380952380951</v>
      </c>
    </row>
    <row r="6" spans="1:8" x14ac:dyDescent="0.3">
      <c r="A6" s="15">
        <v>5</v>
      </c>
      <c r="B6" s="16">
        <v>21</v>
      </c>
      <c r="C6" s="16">
        <v>19</v>
      </c>
      <c r="D6" s="16">
        <v>191</v>
      </c>
      <c r="E6" s="16">
        <v>338</v>
      </c>
      <c r="F6" s="17">
        <v>92.970100000000002</v>
      </c>
      <c r="G6" s="17">
        <f t="shared" si="0"/>
        <v>0.90094339622641506</v>
      </c>
      <c r="H6" s="18">
        <f t="shared" si="1"/>
        <v>0.90952380952380951</v>
      </c>
    </row>
    <row r="7" spans="1:8" x14ac:dyDescent="0.3">
      <c r="A7" s="19">
        <v>6</v>
      </c>
      <c r="B7" s="20">
        <v>21</v>
      </c>
      <c r="C7" s="20">
        <v>19</v>
      </c>
      <c r="D7" s="20">
        <v>191</v>
      </c>
      <c r="E7" s="20">
        <v>338</v>
      </c>
      <c r="F7" s="21">
        <v>92.970100000000002</v>
      </c>
      <c r="G7" s="21">
        <f t="shared" si="0"/>
        <v>0.90094339622641506</v>
      </c>
      <c r="H7" s="22">
        <f t="shared" si="1"/>
        <v>0.90952380952380951</v>
      </c>
    </row>
    <row r="8" spans="1:8" x14ac:dyDescent="0.3">
      <c r="A8" s="15">
        <v>7</v>
      </c>
      <c r="B8" s="16">
        <v>21</v>
      </c>
      <c r="C8" s="16">
        <v>19</v>
      </c>
      <c r="D8" s="16">
        <v>191</v>
      </c>
      <c r="E8" s="16">
        <v>338</v>
      </c>
      <c r="F8" s="17">
        <v>92.970100000000002</v>
      </c>
      <c r="G8" s="23">
        <f t="shared" si="0"/>
        <v>0.90094339622641506</v>
      </c>
      <c r="H8" s="24">
        <f t="shared" si="1"/>
        <v>0.90952380952380951</v>
      </c>
    </row>
    <row r="9" spans="1:8" x14ac:dyDescent="0.3">
      <c r="A9" s="19">
        <v>8</v>
      </c>
      <c r="B9" s="20">
        <v>21</v>
      </c>
      <c r="C9" s="20">
        <v>19</v>
      </c>
      <c r="D9" s="20">
        <v>191</v>
      </c>
      <c r="E9" s="20">
        <v>338</v>
      </c>
      <c r="F9" s="21">
        <v>92.970100000000002</v>
      </c>
      <c r="G9" s="21">
        <f t="shared" si="0"/>
        <v>0.90094339622641506</v>
      </c>
      <c r="H9" s="22">
        <f t="shared" si="1"/>
        <v>0.90952380952380951</v>
      </c>
    </row>
    <row r="10" spans="1:8" x14ac:dyDescent="0.3">
      <c r="A10" s="15">
        <v>9</v>
      </c>
      <c r="B10" s="16">
        <v>21</v>
      </c>
      <c r="C10" s="16">
        <v>19</v>
      </c>
      <c r="D10" s="16">
        <v>191</v>
      </c>
      <c r="E10" s="16">
        <v>338</v>
      </c>
      <c r="F10" s="17">
        <v>92.970100000000002</v>
      </c>
      <c r="G10" s="17">
        <f t="shared" si="0"/>
        <v>0.90094339622641506</v>
      </c>
      <c r="H10" s="18">
        <f t="shared" si="1"/>
        <v>0.90952380952380951</v>
      </c>
    </row>
    <row r="11" spans="1:8" x14ac:dyDescent="0.3">
      <c r="A11" s="19">
        <v>10</v>
      </c>
      <c r="B11" s="20">
        <v>21</v>
      </c>
      <c r="C11" s="20">
        <v>19</v>
      </c>
      <c r="D11" s="20">
        <v>191</v>
      </c>
      <c r="E11" s="20">
        <v>338</v>
      </c>
      <c r="F11" s="21">
        <v>92.970100000000002</v>
      </c>
      <c r="G11" s="21">
        <f t="shared" si="0"/>
        <v>0.90094339622641506</v>
      </c>
      <c r="H11" s="22">
        <f t="shared" si="1"/>
        <v>0.90952380952380951</v>
      </c>
    </row>
    <row r="12" spans="1:8" x14ac:dyDescent="0.3">
      <c r="A12" s="15">
        <v>20</v>
      </c>
      <c r="B12" s="16">
        <v>20</v>
      </c>
      <c r="C12" s="16">
        <v>20</v>
      </c>
      <c r="D12" s="16">
        <v>192</v>
      </c>
      <c r="E12" s="16">
        <v>337</v>
      </c>
      <c r="F12" s="17">
        <v>92.970100000000002</v>
      </c>
      <c r="G12" s="17">
        <f t="shared" si="0"/>
        <v>0.90566037735849059</v>
      </c>
      <c r="H12" s="18">
        <f t="shared" si="1"/>
        <v>0.90566037735849059</v>
      </c>
    </row>
    <row r="13" spans="1:8" x14ac:dyDescent="0.3">
      <c r="A13" s="19">
        <v>30</v>
      </c>
      <c r="B13" s="20">
        <v>19</v>
      </c>
      <c r="C13" s="20">
        <v>20</v>
      </c>
      <c r="D13" s="20">
        <v>193</v>
      </c>
      <c r="E13" s="20">
        <v>337</v>
      </c>
      <c r="F13" s="21">
        <v>93.145899999999997</v>
      </c>
      <c r="G13" s="21">
        <f t="shared" si="0"/>
        <v>0.910377358490566</v>
      </c>
      <c r="H13" s="22">
        <f t="shared" si="1"/>
        <v>0.9061032863849765</v>
      </c>
    </row>
    <row r="14" spans="1:8" x14ac:dyDescent="0.3">
      <c r="A14" s="15">
        <v>40</v>
      </c>
      <c r="B14" s="16">
        <v>19</v>
      </c>
      <c r="C14" s="16">
        <v>22</v>
      </c>
      <c r="D14" s="16">
        <v>193</v>
      </c>
      <c r="E14" s="16">
        <v>335</v>
      </c>
      <c r="F14" s="17">
        <v>92.794399999999996</v>
      </c>
      <c r="G14" s="17">
        <f t="shared" si="0"/>
        <v>0.910377358490566</v>
      </c>
      <c r="H14" s="18">
        <f t="shared" si="1"/>
        <v>0.89767441860465114</v>
      </c>
    </row>
    <row r="15" spans="1:8" x14ac:dyDescent="0.3">
      <c r="A15" s="19">
        <v>50</v>
      </c>
      <c r="B15" s="20">
        <v>19</v>
      </c>
      <c r="C15" s="20">
        <v>22</v>
      </c>
      <c r="D15" s="20">
        <v>193</v>
      </c>
      <c r="E15" s="20">
        <v>335</v>
      </c>
      <c r="F15" s="21">
        <v>92.794399999999996</v>
      </c>
      <c r="G15" s="21">
        <f t="shared" si="0"/>
        <v>0.910377358490566</v>
      </c>
      <c r="H15" s="22">
        <f t="shared" si="1"/>
        <v>0.89767441860465114</v>
      </c>
    </row>
    <row r="16" spans="1:8" x14ac:dyDescent="0.3">
      <c r="A16" s="15">
        <v>60</v>
      </c>
      <c r="B16" s="16">
        <v>18</v>
      </c>
      <c r="C16" s="16">
        <v>22</v>
      </c>
      <c r="D16" s="16">
        <v>194</v>
      </c>
      <c r="E16" s="16">
        <v>335</v>
      </c>
      <c r="F16" s="17">
        <v>92.970100000000002</v>
      </c>
      <c r="G16" s="17">
        <f t="shared" si="0"/>
        <v>0.91509433962264153</v>
      </c>
      <c r="H16" s="18">
        <f t="shared" si="1"/>
        <v>0.89814814814814814</v>
      </c>
    </row>
    <row r="17" spans="1:8" x14ac:dyDescent="0.3">
      <c r="A17" s="19">
        <v>70</v>
      </c>
      <c r="B17" s="20">
        <v>17</v>
      </c>
      <c r="C17" s="20">
        <v>22</v>
      </c>
      <c r="D17" s="20">
        <v>195</v>
      </c>
      <c r="E17" s="20">
        <v>335</v>
      </c>
      <c r="F17" s="21">
        <v>93.145899999999997</v>
      </c>
      <c r="G17" s="21">
        <f t="shared" si="0"/>
        <v>0.91981132075471694</v>
      </c>
      <c r="H17" s="22">
        <f t="shared" si="1"/>
        <v>0.89861751152073732</v>
      </c>
    </row>
    <row r="18" spans="1:8" x14ac:dyDescent="0.3">
      <c r="A18" s="15">
        <v>80</v>
      </c>
      <c r="B18" s="16">
        <v>16</v>
      </c>
      <c r="C18" s="16">
        <v>22</v>
      </c>
      <c r="D18" s="16">
        <v>196</v>
      </c>
      <c r="E18" s="16">
        <v>335</v>
      </c>
      <c r="F18" s="17">
        <v>93.321600000000004</v>
      </c>
      <c r="G18" s="17">
        <f t="shared" si="0"/>
        <v>0.92452830188679247</v>
      </c>
      <c r="H18" s="18">
        <f t="shared" si="1"/>
        <v>0.8990825688073395</v>
      </c>
    </row>
    <row r="19" spans="1:8" x14ac:dyDescent="0.3">
      <c r="A19" s="19">
        <v>90</v>
      </c>
      <c r="B19" s="20">
        <v>15</v>
      </c>
      <c r="C19" s="20">
        <v>22</v>
      </c>
      <c r="D19" s="20">
        <v>197</v>
      </c>
      <c r="E19" s="20">
        <v>335</v>
      </c>
      <c r="F19" s="21">
        <v>93.497399999999999</v>
      </c>
      <c r="G19" s="21">
        <f t="shared" si="0"/>
        <v>0.92924528301886788</v>
      </c>
      <c r="H19" s="22">
        <f t="shared" si="1"/>
        <v>0.8995433789954338</v>
      </c>
    </row>
    <row r="20" spans="1:8" x14ac:dyDescent="0.3">
      <c r="A20" s="15">
        <v>100</v>
      </c>
      <c r="B20" s="16">
        <v>15</v>
      </c>
      <c r="C20" s="16">
        <v>22</v>
      </c>
      <c r="D20" s="16">
        <v>197</v>
      </c>
      <c r="E20" s="16">
        <v>335</v>
      </c>
      <c r="F20" s="17">
        <v>93.497399999999999</v>
      </c>
      <c r="G20" s="17">
        <f t="shared" si="0"/>
        <v>0.92924528301886788</v>
      </c>
      <c r="H20" s="18">
        <f t="shared" si="1"/>
        <v>0.8995433789954338</v>
      </c>
    </row>
    <row r="21" spans="1:8" x14ac:dyDescent="0.3">
      <c r="A21" s="19">
        <v>150</v>
      </c>
      <c r="B21" s="20">
        <v>15</v>
      </c>
      <c r="C21" s="20">
        <v>23</v>
      </c>
      <c r="D21" s="20">
        <v>197</v>
      </c>
      <c r="E21" s="20">
        <v>334</v>
      </c>
      <c r="F21" s="21">
        <v>93.321600000000004</v>
      </c>
      <c r="G21" s="21">
        <f t="shared" si="0"/>
        <v>0.92924528301886788</v>
      </c>
      <c r="H21" s="22">
        <f t="shared" si="1"/>
        <v>0.8954545454545455</v>
      </c>
    </row>
    <row r="22" spans="1:8" x14ac:dyDescent="0.3">
      <c r="A22" s="15">
        <v>200</v>
      </c>
      <c r="B22" s="16">
        <v>14</v>
      </c>
      <c r="C22" s="16">
        <v>23</v>
      </c>
      <c r="D22" s="16">
        <v>198</v>
      </c>
      <c r="E22" s="16">
        <v>334</v>
      </c>
      <c r="F22" s="17">
        <v>93.497399999999999</v>
      </c>
      <c r="G22" s="17">
        <f t="shared" si="0"/>
        <v>0.93396226415094341</v>
      </c>
      <c r="H22" s="18">
        <f t="shared" si="1"/>
        <v>0.89592760180995479</v>
      </c>
    </row>
    <row r="23" spans="1:8" x14ac:dyDescent="0.3">
      <c r="A23" s="19">
        <v>250</v>
      </c>
      <c r="B23" s="20">
        <v>14</v>
      </c>
      <c r="C23" s="20">
        <v>23</v>
      </c>
      <c r="D23" s="20">
        <v>198</v>
      </c>
      <c r="E23" s="20">
        <v>334</v>
      </c>
      <c r="F23" s="21">
        <v>93.497399999999999</v>
      </c>
      <c r="G23" s="21">
        <f t="shared" si="0"/>
        <v>0.93396226415094341</v>
      </c>
      <c r="H23" s="22">
        <f t="shared" si="1"/>
        <v>0.89592760180995479</v>
      </c>
    </row>
    <row r="24" spans="1:8" x14ac:dyDescent="0.3">
      <c r="A24" s="15">
        <v>300</v>
      </c>
      <c r="B24" s="16">
        <v>14</v>
      </c>
      <c r="C24" s="16">
        <v>23</v>
      </c>
      <c r="D24" s="16">
        <v>198</v>
      </c>
      <c r="E24" s="16">
        <v>334</v>
      </c>
      <c r="F24" s="17">
        <v>93.497399999999999</v>
      </c>
      <c r="G24" s="17">
        <f t="shared" si="0"/>
        <v>0.93396226415094341</v>
      </c>
      <c r="H24" s="18">
        <f t="shared" si="1"/>
        <v>0.89592760180995479</v>
      </c>
    </row>
    <row r="25" spans="1:8" x14ac:dyDescent="0.3">
      <c r="A25" s="19">
        <v>350</v>
      </c>
      <c r="B25" s="20">
        <v>14</v>
      </c>
      <c r="C25" s="20">
        <v>24</v>
      </c>
      <c r="D25" s="20">
        <v>198</v>
      </c>
      <c r="E25" s="20">
        <v>333</v>
      </c>
      <c r="F25" s="21">
        <v>93.321600000000004</v>
      </c>
      <c r="G25" s="21">
        <f t="shared" si="0"/>
        <v>0.93396226415094341</v>
      </c>
      <c r="H25" s="22">
        <f t="shared" si="1"/>
        <v>0.89189189189189189</v>
      </c>
    </row>
    <row r="26" spans="1:8" x14ac:dyDescent="0.3">
      <c r="A26" s="15">
        <v>400</v>
      </c>
      <c r="B26" s="16">
        <v>14</v>
      </c>
      <c r="C26" s="16">
        <v>24</v>
      </c>
      <c r="D26" s="16">
        <v>198</v>
      </c>
      <c r="E26" s="16">
        <v>333</v>
      </c>
      <c r="F26" s="17">
        <v>93.321600000000004</v>
      </c>
      <c r="G26" s="17">
        <f t="shared" si="0"/>
        <v>0.93396226415094341</v>
      </c>
      <c r="H26" s="18">
        <f t="shared" si="1"/>
        <v>0.89189189189189189</v>
      </c>
    </row>
    <row r="27" spans="1:8" x14ac:dyDescent="0.3">
      <c r="A27" s="19">
        <v>450</v>
      </c>
      <c r="B27" s="20">
        <v>14</v>
      </c>
      <c r="C27" s="20">
        <v>24</v>
      </c>
      <c r="D27" s="20">
        <v>198</v>
      </c>
      <c r="E27" s="20">
        <v>333</v>
      </c>
      <c r="F27" s="21">
        <v>93.321600000000004</v>
      </c>
      <c r="G27" s="21">
        <f t="shared" si="0"/>
        <v>0.93396226415094341</v>
      </c>
      <c r="H27" s="22">
        <f t="shared" si="1"/>
        <v>0.89189189189189189</v>
      </c>
    </row>
    <row r="28" spans="1:8" x14ac:dyDescent="0.3">
      <c r="A28" s="15">
        <v>500</v>
      </c>
      <c r="B28" s="16">
        <v>14</v>
      </c>
      <c r="C28" s="16">
        <v>24</v>
      </c>
      <c r="D28" s="16">
        <v>198</v>
      </c>
      <c r="E28" s="16">
        <v>333</v>
      </c>
      <c r="F28" s="17">
        <v>93.321600000000004</v>
      </c>
      <c r="G28" s="17">
        <f t="shared" si="0"/>
        <v>0.93396226415094341</v>
      </c>
      <c r="H28" s="18">
        <f t="shared" si="1"/>
        <v>0.89189189189189189</v>
      </c>
    </row>
    <row r="29" spans="1:8" x14ac:dyDescent="0.3">
      <c r="A29" s="19">
        <v>600</v>
      </c>
      <c r="B29" s="20">
        <v>14</v>
      </c>
      <c r="C29" s="20">
        <v>24</v>
      </c>
      <c r="D29" s="20">
        <v>198</v>
      </c>
      <c r="E29" s="20">
        <v>333</v>
      </c>
      <c r="F29" s="21">
        <v>93.321600000000004</v>
      </c>
      <c r="G29" s="21">
        <f t="shared" si="0"/>
        <v>0.93396226415094341</v>
      </c>
      <c r="H29" s="22">
        <f t="shared" si="1"/>
        <v>0.89189189189189189</v>
      </c>
    </row>
    <row r="30" spans="1:8" x14ac:dyDescent="0.3">
      <c r="A30" s="15">
        <v>700</v>
      </c>
      <c r="B30" s="16">
        <v>14</v>
      </c>
      <c r="C30" s="16">
        <v>24</v>
      </c>
      <c r="D30" s="16">
        <v>198</v>
      </c>
      <c r="E30" s="16">
        <v>333</v>
      </c>
      <c r="F30" s="17">
        <v>93.321600000000004</v>
      </c>
      <c r="G30" s="17">
        <f t="shared" si="0"/>
        <v>0.93396226415094341</v>
      </c>
      <c r="H30" s="18">
        <f t="shared" si="1"/>
        <v>0.89189189189189189</v>
      </c>
    </row>
    <row r="31" spans="1:8" x14ac:dyDescent="0.3">
      <c r="A31" s="19">
        <v>800</v>
      </c>
      <c r="B31" s="20">
        <v>14</v>
      </c>
      <c r="C31" s="20">
        <v>24</v>
      </c>
      <c r="D31" s="20">
        <v>198</v>
      </c>
      <c r="E31" s="20">
        <v>333</v>
      </c>
      <c r="F31" s="21">
        <v>93.321600000000004</v>
      </c>
      <c r="G31" s="21">
        <f t="shared" si="0"/>
        <v>0.93396226415094341</v>
      </c>
      <c r="H31" s="22">
        <f t="shared" si="1"/>
        <v>0.89189189189189189</v>
      </c>
    </row>
    <row r="32" spans="1:8" x14ac:dyDescent="0.3">
      <c r="A32" s="15">
        <v>900</v>
      </c>
      <c r="B32" s="16">
        <v>14</v>
      </c>
      <c r="C32" s="16">
        <v>24</v>
      </c>
      <c r="D32" s="16">
        <v>198</v>
      </c>
      <c r="E32" s="16">
        <v>333</v>
      </c>
      <c r="F32" s="17">
        <v>93.321600000000004</v>
      </c>
      <c r="G32" s="17">
        <f t="shared" si="0"/>
        <v>0.93396226415094341</v>
      </c>
      <c r="H32" s="18">
        <f t="shared" si="1"/>
        <v>0.89189189189189189</v>
      </c>
    </row>
    <row r="33" spans="1:8" x14ac:dyDescent="0.3">
      <c r="A33" s="19">
        <v>1000</v>
      </c>
      <c r="B33" s="20">
        <v>14</v>
      </c>
      <c r="C33" s="20">
        <v>24</v>
      </c>
      <c r="D33" s="20">
        <v>198</v>
      </c>
      <c r="E33" s="20">
        <v>333</v>
      </c>
      <c r="F33" s="21">
        <v>93.321600000000004</v>
      </c>
      <c r="G33" s="21">
        <f t="shared" si="0"/>
        <v>0.93396226415094341</v>
      </c>
      <c r="H33" s="22">
        <f t="shared" si="1"/>
        <v>0.89189189189189189</v>
      </c>
    </row>
    <row r="34" spans="1:8" x14ac:dyDescent="0.3">
      <c r="A34" s="26">
        <v>10000</v>
      </c>
      <c r="B34" s="27">
        <v>13</v>
      </c>
      <c r="C34" s="27">
        <v>25</v>
      </c>
      <c r="D34" s="27">
        <v>199</v>
      </c>
      <c r="E34" s="27">
        <v>332</v>
      </c>
      <c r="F34" s="28">
        <v>93.321600000000004</v>
      </c>
      <c r="G34" s="28">
        <f t="shared" si="0"/>
        <v>0.93867924528301883</v>
      </c>
      <c r="H34" s="29">
        <f t="shared" si="1"/>
        <v>0.8883928571428571</v>
      </c>
    </row>
  </sheetData>
  <autoFilter ref="A1:H1" xr:uid="{12BC4415-91D0-4C33-84BC-5309DC889670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5EE5-5808-48CF-A6E8-736A0368DC85}">
  <dimension ref="A1:H20"/>
  <sheetViews>
    <sheetView workbookViewId="0">
      <selection activeCell="I3" sqref="I3"/>
    </sheetView>
  </sheetViews>
  <sheetFormatPr defaultColWidth="11.44140625" defaultRowHeight="14.4" x14ac:dyDescent="0.3"/>
  <cols>
    <col min="1" max="1" width="16.33203125" bestFit="1" customWidth="1"/>
    <col min="2" max="2" width="16" bestFit="1" customWidth="1"/>
    <col min="3" max="3" width="15.33203125" bestFit="1" customWidth="1"/>
    <col min="4" max="4" width="14.44140625" bestFit="1" customWidth="1"/>
    <col min="5" max="5" width="15.109375" bestFit="1" customWidth="1"/>
    <col min="6" max="6" width="11.44140625" bestFit="1" customWidth="1"/>
    <col min="7" max="7" width="8.6640625" bestFit="1" customWidth="1"/>
    <col min="8" max="8" width="11.44140625" bestFit="1" customWidth="1"/>
  </cols>
  <sheetData>
    <row r="1" spans="1:8" x14ac:dyDescent="0.3">
      <c r="A1" s="11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 spans="1:8" x14ac:dyDescent="0.3">
      <c r="A2" s="15">
        <v>1</v>
      </c>
      <c r="B2" s="16">
        <v>14</v>
      </c>
      <c r="C2" s="16">
        <v>14</v>
      </c>
      <c r="D2" s="16">
        <v>198</v>
      </c>
      <c r="E2" s="16">
        <v>343</v>
      </c>
      <c r="F2" s="17">
        <v>0.95079100000000005</v>
      </c>
      <c r="G2" s="17">
        <f>D2/(D2+B2)</f>
        <v>0.93396226415094341</v>
      </c>
      <c r="H2" s="18">
        <f t="shared" ref="H2:H16" si="0">D2/(D2+C2)</f>
        <v>0.93396226415094341</v>
      </c>
    </row>
    <row r="3" spans="1:8" x14ac:dyDescent="0.3">
      <c r="A3" s="19">
        <v>2</v>
      </c>
      <c r="B3" s="20">
        <v>12</v>
      </c>
      <c r="C3" s="20">
        <v>17</v>
      </c>
      <c r="D3" s="20">
        <v>200</v>
      </c>
      <c r="E3" s="20">
        <v>340</v>
      </c>
      <c r="F3" s="21">
        <v>0.94903300000000002</v>
      </c>
      <c r="G3" s="21">
        <f t="shared" ref="G3:G16" si="1">D3/(D3+B3)</f>
        <v>0.94339622641509435</v>
      </c>
      <c r="H3" s="22">
        <f t="shared" si="0"/>
        <v>0.92165898617511521</v>
      </c>
    </row>
    <row r="4" spans="1:8" x14ac:dyDescent="0.3">
      <c r="A4" s="15">
        <v>3</v>
      </c>
      <c r="B4" s="16">
        <v>13</v>
      </c>
      <c r="C4" s="16">
        <v>17</v>
      </c>
      <c r="D4" s="16">
        <v>199</v>
      </c>
      <c r="E4" s="16">
        <v>340</v>
      </c>
      <c r="F4" s="17">
        <v>0.94727600000000001</v>
      </c>
      <c r="G4" s="17">
        <f t="shared" si="1"/>
        <v>0.93867924528301883</v>
      </c>
      <c r="H4" s="18">
        <f t="shared" si="0"/>
        <v>0.92129629629629628</v>
      </c>
    </row>
    <row r="5" spans="1:8" x14ac:dyDescent="0.3">
      <c r="A5" s="19">
        <v>4</v>
      </c>
      <c r="B5" s="20">
        <v>13</v>
      </c>
      <c r="C5" s="20">
        <v>16</v>
      </c>
      <c r="D5" s="20">
        <v>199</v>
      </c>
      <c r="E5" s="20">
        <v>341</v>
      </c>
      <c r="F5" s="21">
        <v>0.94903300000000002</v>
      </c>
      <c r="G5" s="21">
        <f t="shared" si="1"/>
        <v>0.93867924528301883</v>
      </c>
      <c r="H5" s="22">
        <f t="shared" si="0"/>
        <v>0.92558139534883721</v>
      </c>
    </row>
    <row r="6" spans="1:8" x14ac:dyDescent="0.3">
      <c r="A6" s="15">
        <v>5</v>
      </c>
      <c r="B6" s="16">
        <v>11</v>
      </c>
      <c r="C6" s="16">
        <v>18</v>
      </c>
      <c r="D6" s="16">
        <v>201</v>
      </c>
      <c r="E6" s="16">
        <v>339</v>
      </c>
      <c r="F6" s="17">
        <v>0.94903300000000002</v>
      </c>
      <c r="G6" s="17">
        <f t="shared" si="1"/>
        <v>0.94811320754716977</v>
      </c>
      <c r="H6" s="18">
        <f t="shared" si="0"/>
        <v>0.9178082191780822</v>
      </c>
    </row>
    <row r="7" spans="1:8" x14ac:dyDescent="0.3">
      <c r="A7" s="19">
        <v>6</v>
      </c>
      <c r="B7" s="20">
        <v>11</v>
      </c>
      <c r="C7" s="20">
        <v>17</v>
      </c>
      <c r="D7" s="20">
        <v>201</v>
      </c>
      <c r="E7" s="20">
        <v>340</v>
      </c>
      <c r="F7" s="21">
        <v>0.95079100000000005</v>
      </c>
      <c r="G7" s="21">
        <f t="shared" si="1"/>
        <v>0.94811320754716977</v>
      </c>
      <c r="H7" s="22">
        <f t="shared" si="0"/>
        <v>0.92201834862385323</v>
      </c>
    </row>
    <row r="8" spans="1:8" x14ac:dyDescent="0.3">
      <c r="A8" s="15">
        <v>7</v>
      </c>
      <c r="B8" s="16">
        <v>12</v>
      </c>
      <c r="C8" s="16">
        <v>19</v>
      </c>
      <c r="D8" s="16">
        <v>200</v>
      </c>
      <c r="E8" s="16">
        <v>338</v>
      </c>
      <c r="F8" s="17">
        <v>0.94551799999999997</v>
      </c>
      <c r="G8" s="17">
        <f t="shared" si="1"/>
        <v>0.94339622641509435</v>
      </c>
      <c r="H8" s="18">
        <f t="shared" si="0"/>
        <v>0.91324200913242004</v>
      </c>
    </row>
    <row r="9" spans="1:8" x14ac:dyDescent="0.3">
      <c r="A9" s="19">
        <v>8</v>
      </c>
      <c r="B9" s="20">
        <v>11</v>
      </c>
      <c r="C9" s="20">
        <v>20</v>
      </c>
      <c r="D9" s="20">
        <v>201</v>
      </c>
      <c r="E9" s="20">
        <v>337</v>
      </c>
      <c r="F9" s="21">
        <v>0.94551799999999997</v>
      </c>
      <c r="G9" s="21">
        <f t="shared" si="1"/>
        <v>0.94811320754716977</v>
      </c>
      <c r="H9" s="22">
        <f t="shared" si="0"/>
        <v>0.9095022624434389</v>
      </c>
    </row>
    <row r="10" spans="1:8" x14ac:dyDescent="0.3">
      <c r="A10" s="15">
        <v>9</v>
      </c>
      <c r="B10" s="16">
        <v>13</v>
      </c>
      <c r="C10" s="16">
        <v>19</v>
      </c>
      <c r="D10" s="16">
        <v>199</v>
      </c>
      <c r="E10" s="16">
        <v>338</v>
      </c>
      <c r="F10" s="17">
        <v>0.94376099999999996</v>
      </c>
      <c r="G10" s="17">
        <f t="shared" si="1"/>
        <v>0.93867924528301883</v>
      </c>
      <c r="H10" s="18">
        <f t="shared" si="0"/>
        <v>0.91284403669724767</v>
      </c>
    </row>
    <row r="11" spans="1:8" x14ac:dyDescent="0.3">
      <c r="A11" s="30">
        <v>10</v>
      </c>
      <c r="B11" s="20">
        <v>12</v>
      </c>
      <c r="C11" s="20">
        <v>19</v>
      </c>
      <c r="D11" s="20">
        <v>200</v>
      </c>
      <c r="E11" s="20">
        <v>338</v>
      </c>
      <c r="F11" s="21">
        <v>0.94551799999999997</v>
      </c>
      <c r="G11" s="23">
        <f t="shared" si="1"/>
        <v>0.94339622641509435</v>
      </c>
      <c r="H11" s="24">
        <f t="shared" si="0"/>
        <v>0.91324200913242004</v>
      </c>
    </row>
    <row r="12" spans="1:8" x14ac:dyDescent="0.3">
      <c r="A12" s="15">
        <v>11</v>
      </c>
      <c r="B12" s="16">
        <v>12</v>
      </c>
      <c r="C12" s="16">
        <v>19</v>
      </c>
      <c r="D12" s="16">
        <v>200</v>
      </c>
      <c r="E12" s="16">
        <v>338</v>
      </c>
      <c r="F12" s="17">
        <v>0.94551799999999997</v>
      </c>
      <c r="G12" s="17">
        <f t="shared" si="1"/>
        <v>0.94339622641509435</v>
      </c>
      <c r="H12" s="18">
        <f t="shared" si="0"/>
        <v>0.91324200913242004</v>
      </c>
    </row>
    <row r="13" spans="1:8" x14ac:dyDescent="0.3">
      <c r="A13" s="19">
        <v>12</v>
      </c>
      <c r="B13" s="20">
        <v>12</v>
      </c>
      <c r="C13" s="20">
        <v>22</v>
      </c>
      <c r="D13" s="20">
        <v>200</v>
      </c>
      <c r="E13" s="20">
        <v>335</v>
      </c>
      <c r="F13" s="21">
        <v>0.94024600000000003</v>
      </c>
      <c r="G13" s="21">
        <f t="shared" si="1"/>
        <v>0.94339622641509435</v>
      </c>
      <c r="H13" s="22">
        <f t="shared" si="0"/>
        <v>0.90090090090090091</v>
      </c>
    </row>
    <row r="14" spans="1:8" x14ac:dyDescent="0.3">
      <c r="A14" s="15">
        <v>13</v>
      </c>
      <c r="B14" s="16">
        <v>12</v>
      </c>
      <c r="C14" s="16">
        <v>22</v>
      </c>
      <c r="D14" s="16">
        <v>200</v>
      </c>
      <c r="E14" s="16">
        <v>335</v>
      </c>
      <c r="F14" s="17">
        <v>0.94024600000000003</v>
      </c>
      <c r="G14" s="17">
        <f t="shared" si="1"/>
        <v>0.94339622641509435</v>
      </c>
      <c r="H14" s="18">
        <f t="shared" si="0"/>
        <v>0.90090090090090091</v>
      </c>
    </row>
    <row r="15" spans="1:8" x14ac:dyDescent="0.3">
      <c r="A15" s="25">
        <v>14</v>
      </c>
      <c r="B15" s="31">
        <v>13</v>
      </c>
      <c r="C15" s="31">
        <v>26</v>
      </c>
      <c r="D15" s="31">
        <v>199</v>
      </c>
      <c r="E15" s="31">
        <v>331</v>
      </c>
      <c r="F15" s="32">
        <v>0.93145900000000004</v>
      </c>
      <c r="G15" s="32">
        <f t="shared" si="1"/>
        <v>0.93867924528301883</v>
      </c>
      <c r="H15" s="33">
        <f t="shared" si="0"/>
        <v>0.88444444444444448</v>
      </c>
    </row>
    <row r="16" spans="1:8" x14ac:dyDescent="0.3">
      <c r="A16" s="15">
        <v>15</v>
      </c>
      <c r="B16" s="16">
        <v>12</v>
      </c>
      <c r="C16" s="16">
        <v>27</v>
      </c>
      <c r="D16" s="16">
        <v>200</v>
      </c>
      <c r="E16" s="16">
        <v>330</v>
      </c>
      <c r="F16" s="17">
        <v>0.93145900000000004</v>
      </c>
      <c r="G16" s="17">
        <f t="shared" si="1"/>
        <v>0.94339622641509435</v>
      </c>
      <c r="H16" s="18">
        <f t="shared" si="0"/>
        <v>0.88105726872246692</v>
      </c>
    </row>
    <row r="17" spans="1:8" x14ac:dyDescent="0.3">
      <c r="A17" s="19">
        <v>394</v>
      </c>
      <c r="B17" s="20">
        <v>2</v>
      </c>
      <c r="C17" s="20">
        <v>331</v>
      </c>
      <c r="D17" s="20">
        <v>210</v>
      </c>
      <c r="E17" s="20">
        <v>26</v>
      </c>
      <c r="F17" s="21">
        <v>0.41476299999999999</v>
      </c>
      <c r="G17" s="21">
        <f t="shared" ref="G17:G20" si="2">D17/(D17+B17)</f>
        <v>0.99056603773584906</v>
      </c>
      <c r="H17" s="22">
        <f t="shared" ref="H17:H20" si="3">D17/(D17+C17)</f>
        <v>0.38817005545286504</v>
      </c>
    </row>
    <row r="18" spans="1:8" x14ac:dyDescent="0.3">
      <c r="A18" s="15">
        <v>395</v>
      </c>
      <c r="B18" s="16">
        <v>2</v>
      </c>
      <c r="C18" s="16">
        <v>331</v>
      </c>
      <c r="D18" s="16">
        <v>210</v>
      </c>
      <c r="E18" s="16">
        <v>26</v>
      </c>
      <c r="F18" s="17">
        <v>0.41476299999999999</v>
      </c>
      <c r="G18" s="17">
        <f t="shared" si="2"/>
        <v>0.99056603773584906</v>
      </c>
      <c r="H18" s="18">
        <f t="shared" si="3"/>
        <v>0.38817005545286504</v>
      </c>
    </row>
    <row r="19" spans="1:8" x14ac:dyDescent="0.3">
      <c r="A19" s="19">
        <v>395.25709999999998</v>
      </c>
      <c r="B19" s="20">
        <v>2</v>
      </c>
      <c r="C19" s="20">
        <v>331</v>
      </c>
      <c r="D19" s="20">
        <v>210</v>
      </c>
      <c r="E19" s="20">
        <v>26</v>
      </c>
      <c r="F19" s="21">
        <v>0.41476299999999999</v>
      </c>
      <c r="G19" s="21">
        <f t="shared" si="2"/>
        <v>0.99056603773584906</v>
      </c>
      <c r="H19" s="22">
        <f t="shared" si="3"/>
        <v>0.38817005545286504</v>
      </c>
    </row>
    <row r="20" spans="1:8" x14ac:dyDescent="0.3">
      <c r="A20" s="15">
        <v>395.25720000000001</v>
      </c>
      <c r="B20" s="16">
        <v>0</v>
      </c>
      <c r="C20" s="16">
        <v>357</v>
      </c>
      <c r="D20" s="16">
        <v>212</v>
      </c>
      <c r="E20" s="16">
        <v>0</v>
      </c>
      <c r="F20" s="17">
        <v>0.372583</v>
      </c>
      <c r="G20" s="17">
        <f t="shared" si="2"/>
        <v>1</v>
      </c>
      <c r="H20" s="18">
        <f t="shared" si="3"/>
        <v>0.37258347978910367</v>
      </c>
    </row>
  </sheetData>
  <autoFilter ref="A1:H1" xr:uid="{6FA75EE5-5808-48CF-A6E8-736A0368DC85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802C-58AB-4FE6-B4D5-183CA8630A84}">
  <dimension ref="A1:H24"/>
  <sheetViews>
    <sheetView workbookViewId="0">
      <selection activeCell="J6" sqref="J6"/>
    </sheetView>
  </sheetViews>
  <sheetFormatPr defaultColWidth="9.109375" defaultRowHeight="14.4" x14ac:dyDescent="0.3"/>
  <cols>
    <col min="1" max="1" width="16.33203125" bestFit="1" customWidth="1"/>
    <col min="2" max="2" width="16" bestFit="1" customWidth="1"/>
    <col min="3" max="3" width="15.33203125" bestFit="1" customWidth="1"/>
    <col min="4" max="4" width="14.44140625" bestFit="1" customWidth="1"/>
    <col min="5" max="5" width="15.109375" bestFit="1" customWidth="1"/>
    <col min="6" max="6" width="11.44140625" bestFit="1" customWidth="1"/>
    <col min="7" max="7" width="8.6640625" bestFit="1" customWidth="1"/>
    <col min="8" max="8" width="11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7">
        <v>1</v>
      </c>
      <c r="B2" s="7">
        <v>28</v>
      </c>
      <c r="C2" s="7">
        <v>28</v>
      </c>
      <c r="D2" s="7">
        <v>184</v>
      </c>
      <c r="E2" s="7">
        <v>329</v>
      </c>
      <c r="F2" s="8">
        <v>0.90158199999999999</v>
      </c>
      <c r="G2" s="8">
        <v>0.8679</v>
      </c>
      <c r="H2" s="8">
        <v>0.8679</v>
      </c>
    </row>
    <row r="3" spans="1:8" x14ac:dyDescent="0.3">
      <c r="A3" s="3">
        <v>2</v>
      </c>
      <c r="B3" s="3">
        <v>26</v>
      </c>
      <c r="C3" s="3">
        <v>39</v>
      </c>
      <c r="D3" s="3">
        <v>186</v>
      </c>
      <c r="E3" s="3">
        <v>318</v>
      </c>
      <c r="F3" s="4">
        <v>0.885764</v>
      </c>
      <c r="G3" s="4">
        <v>0.87739999999999996</v>
      </c>
      <c r="H3" s="4">
        <v>0.82669999999999999</v>
      </c>
    </row>
    <row r="4" spans="1:8" x14ac:dyDescent="0.3">
      <c r="A4" s="3">
        <v>3</v>
      </c>
      <c r="B4" s="3">
        <v>21</v>
      </c>
      <c r="C4" s="3">
        <v>41</v>
      </c>
      <c r="D4" s="3">
        <v>191</v>
      </c>
      <c r="E4" s="3">
        <v>316</v>
      </c>
      <c r="F4" s="4">
        <v>0.89103699999999997</v>
      </c>
      <c r="G4" s="4">
        <v>0.90090000000000003</v>
      </c>
      <c r="H4" s="4">
        <v>0.82330000000000003</v>
      </c>
    </row>
    <row r="5" spans="1:8" x14ac:dyDescent="0.3">
      <c r="A5" s="3">
        <v>4</v>
      </c>
      <c r="B5" s="3">
        <v>15</v>
      </c>
      <c r="C5" s="3">
        <v>60</v>
      </c>
      <c r="D5" s="3">
        <v>197</v>
      </c>
      <c r="E5" s="3">
        <v>297</v>
      </c>
      <c r="F5" s="10">
        <v>0.89103699999999997</v>
      </c>
      <c r="G5" s="4">
        <v>0.92920000000000003</v>
      </c>
      <c r="H5" s="4">
        <v>0.76649999999999996</v>
      </c>
    </row>
    <row r="6" spans="1:8" x14ac:dyDescent="0.3">
      <c r="A6" s="3">
        <v>5</v>
      </c>
      <c r="B6" s="3">
        <v>14</v>
      </c>
      <c r="C6" s="3">
        <v>67</v>
      </c>
      <c r="D6" s="3">
        <v>198</v>
      </c>
      <c r="E6" s="3">
        <v>290</v>
      </c>
      <c r="F6" s="4">
        <v>0.85764499999999999</v>
      </c>
      <c r="G6" s="4">
        <v>0.93400000000000005</v>
      </c>
      <c r="H6" s="4">
        <v>0.74719999999999998</v>
      </c>
    </row>
    <row r="7" spans="1:8" x14ac:dyDescent="0.3">
      <c r="A7" s="3">
        <v>6</v>
      </c>
      <c r="B7" s="3">
        <v>11</v>
      </c>
      <c r="C7" s="3">
        <v>68</v>
      </c>
      <c r="D7" s="3">
        <v>201</v>
      </c>
      <c r="E7" s="3">
        <v>289</v>
      </c>
      <c r="F7" s="4">
        <v>0.86116000000000004</v>
      </c>
      <c r="G7" s="4">
        <v>0.94810000000000005</v>
      </c>
      <c r="H7" s="4">
        <v>0.74719999999999998</v>
      </c>
    </row>
    <row r="8" spans="1:8" x14ac:dyDescent="0.3">
      <c r="A8" s="3">
        <v>7</v>
      </c>
      <c r="B8" s="3">
        <v>9</v>
      </c>
      <c r="C8" s="3">
        <v>84</v>
      </c>
      <c r="D8" s="3">
        <v>203</v>
      </c>
      <c r="E8" s="3">
        <v>273</v>
      </c>
      <c r="F8" s="4">
        <v>0.83655500000000005</v>
      </c>
      <c r="G8" s="4">
        <v>0.95750000000000002</v>
      </c>
      <c r="H8" s="4">
        <v>0.70730000000000004</v>
      </c>
    </row>
    <row r="9" spans="1:8" x14ac:dyDescent="0.3">
      <c r="A9" s="3">
        <v>8</v>
      </c>
      <c r="B9" s="3">
        <v>8</v>
      </c>
      <c r="C9" s="3">
        <v>89</v>
      </c>
      <c r="D9" s="3">
        <v>204</v>
      </c>
      <c r="E9" s="3">
        <v>268</v>
      </c>
      <c r="F9" s="4">
        <v>0.82952499999999996</v>
      </c>
      <c r="G9" s="4">
        <v>0.96230000000000004</v>
      </c>
      <c r="H9" s="4">
        <v>0.69620000000000004</v>
      </c>
    </row>
    <row r="10" spans="1:8" x14ac:dyDescent="0.3">
      <c r="A10" s="3">
        <v>9</v>
      </c>
      <c r="B10" s="3">
        <v>11</v>
      </c>
      <c r="C10" s="3">
        <v>89</v>
      </c>
      <c r="D10" s="3">
        <v>201</v>
      </c>
      <c r="E10" s="3">
        <v>268</v>
      </c>
      <c r="F10" s="4">
        <v>0.82425300000000001</v>
      </c>
      <c r="G10" s="4">
        <v>0.94810000000000005</v>
      </c>
      <c r="H10" s="4">
        <v>0.69310000000000005</v>
      </c>
    </row>
    <row r="11" spans="1:8" x14ac:dyDescent="0.3">
      <c r="A11" s="3">
        <v>10</v>
      </c>
      <c r="B11" s="3">
        <v>11</v>
      </c>
      <c r="C11" s="3">
        <v>89</v>
      </c>
      <c r="D11" s="3">
        <v>201</v>
      </c>
      <c r="E11" s="3">
        <v>268</v>
      </c>
      <c r="F11" s="4">
        <v>0.82425300000000001</v>
      </c>
      <c r="G11" s="4">
        <v>0.94810000000000005</v>
      </c>
      <c r="H11" s="4">
        <v>0.69310000000000005</v>
      </c>
    </row>
    <row r="12" spans="1:8" x14ac:dyDescent="0.3">
      <c r="A12" s="3">
        <v>15</v>
      </c>
      <c r="B12" s="3">
        <v>9</v>
      </c>
      <c r="C12" s="3">
        <v>118</v>
      </c>
      <c r="D12" s="3">
        <v>203</v>
      </c>
      <c r="E12" s="3">
        <v>239</v>
      </c>
      <c r="F12" s="4">
        <v>0.77680099999999996</v>
      </c>
      <c r="G12" s="4">
        <v>0.95750000000000002</v>
      </c>
      <c r="H12" s="4">
        <v>0.63239999999999996</v>
      </c>
    </row>
    <row r="13" spans="1:8" x14ac:dyDescent="0.3">
      <c r="A13" s="3">
        <v>20</v>
      </c>
      <c r="B13" s="3">
        <v>7</v>
      </c>
      <c r="C13" s="3">
        <v>139</v>
      </c>
      <c r="D13" s="3">
        <v>205</v>
      </c>
      <c r="E13" s="3">
        <v>218</v>
      </c>
      <c r="F13" s="4">
        <v>0.74340899999999999</v>
      </c>
      <c r="G13" s="4">
        <v>0.96699999999999997</v>
      </c>
      <c r="H13" s="4">
        <v>0.59589999999999999</v>
      </c>
    </row>
    <row r="14" spans="1:8" x14ac:dyDescent="0.3">
      <c r="A14" s="3">
        <v>25</v>
      </c>
      <c r="B14" s="3">
        <v>6</v>
      </c>
      <c r="C14" s="3">
        <v>162</v>
      </c>
      <c r="D14" s="3">
        <v>206</v>
      </c>
      <c r="E14" s="3">
        <v>195</v>
      </c>
      <c r="F14" s="4">
        <v>0.70474499999999995</v>
      </c>
      <c r="G14" s="4">
        <v>0.97170000000000001</v>
      </c>
      <c r="H14" s="4">
        <v>0.55979999999999996</v>
      </c>
    </row>
    <row r="15" spans="1:8" x14ac:dyDescent="0.3">
      <c r="A15" s="3">
        <v>30</v>
      </c>
      <c r="B15" s="3">
        <v>7</v>
      </c>
      <c r="C15" s="3">
        <v>170</v>
      </c>
      <c r="D15" s="3">
        <v>205</v>
      </c>
      <c r="E15" s="3">
        <v>187</v>
      </c>
      <c r="F15" s="4">
        <v>0.68892799999999998</v>
      </c>
      <c r="G15" s="4">
        <v>0.96699999999999997</v>
      </c>
      <c r="H15" s="4">
        <v>0.54669999999999996</v>
      </c>
    </row>
    <row r="16" spans="1:8" x14ac:dyDescent="0.3">
      <c r="A16" s="3">
        <v>40</v>
      </c>
      <c r="B16" s="3">
        <v>7</v>
      </c>
      <c r="C16" s="3">
        <v>208</v>
      </c>
      <c r="D16" s="3">
        <v>205</v>
      </c>
      <c r="E16" s="3">
        <v>149</v>
      </c>
      <c r="F16" s="4">
        <v>0.62214400000000003</v>
      </c>
      <c r="G16" s="4">
        <v>0.96699999999999997</v>
      </c>
      <c r="H16" s="4">
        <v>0.54669999999999996</v>
      </c>
    </row>
    <row r="17" spans="1:8" x14ac:dyDescent="0.3">
      <c r="A17" s="3">
        <v>50</v>
      </c>
      <c r="B17" s="3">
        <v>5</v>
      </c>
      <c r="C17" s="3">
        <v>201</v>
      </c>
      <c r="D17" s="3">
        <v>207</v>
      </c>
      <c r="E17" s="3">
        <v>156</v>
      </c>
      <c r="F17" s="4">
        <v>0.637961</v>
      </c>
      <c r="G17" s="4">
        <v>0.97640000000000005</v>
      </c>
      <c r="H17" s="4">
        <v>0.50739999999999996</v>
      </c>
    </row>
    <row r="18" spans="1:8" x14ac:dyDescent="0.3">
      <c r="A18" s="3">
        <v>70</v>
      </c>
      <c r="B18" s="3">
        <v>4</v>
      </c>
      <c r="C18" s="3">
        <v>232</v>
      </c>
      <c r="D18" s="3">
        <v>208</v>
      </c>
      <c r="E18" s="3">
        <v>125</v>
      </c>
      <c r="F18" s="4">
        <v>0.58523700000000001</v>
      </c>
      <c r="G18" s="4">
        <v>0.98109999999999997</v>
      </c>
      <c r="H18" s="4">
        <v>0.47270000000000001</v>
      </c>
    </row>
    <row r="19" spans="1:8" x14ac:dyDescent="0.3">
      <c r="A19" s="3">
        <v>95</v>
      </c>
      <c r="B19" s="3">
        <v>1</v>
      </c>
      <c r="C19" s="3">
        <v>284</v>
      </c>
      <c r="D19" s="3">
        <v>211</v>
      </c>
      <c r="E19" s="3">
        <v>73</v>
      </c>
      <c r="F19" s="4">
        <v>0.49912099999999998</v>
      </c>
      <c r="G19" s="4">
        <v>0.99529999999999996</v>
      </c>
      <c r="H19" s="4">
        <v>0.42630000000000001</v>
      </c>
    </row>
    <row r="20" spans="1:8" x14ac:dyDescent="0.3">
      <c r="A20" s="3">
        <v>96</v>
      </c>
      <c r="B20" s="3">
        <v>1</v>
      </c>
      <c r="C20" s="3">
        <v>284</v>
      </c>
      <c r="D20" s="3">
        <v>211</v>
      </c>
      <c r="E20" s="3">
        <v>73</v>
      </c>
      <c r="F20" s="4">
        <v>0.49912099999999998</v>
      </c>
      <c r="G20" s="4">
        <v>0.99529999999999996</v>
      </c>
      <c r="H20" s="4">
        <v>0.42630000000000001</v>
      </c>
    </row>
    <row r="21" spans="1:8" x14ac:dyDescent="0.3">
      <c r="A21" s="3">
        <v>97</v>
      </c>
      <c r="B21" s="3">
        <v>1</v>
      </c>
      <c r="C21" s="3">
        <v>284</v>
      </c>
      <c r="D21" s="3">
        <v>211</v>
      </c>
      <c r="E21" s="3">
        <v>73</v>
      </c>
      <c r="F21" s="4">
        <v>0.49912099999999998</v>
      </c>
      <c r="G21" s="4">
        <v>0.99529999999999996</v>
      </c>
      <c r="H21" s="4">
        <v>0.42630000000000001</v>
      </c>
    </row>
    <row r="22" spans="1:8" x14ac:dyDescent="0.3">
      <c r="A22" s="3">
        <v>97.5</v>
      </c>
      <c r="B22" s="3">
        <v>1</v>
      </c>
      <c r="C22" s="3">
        <v>284</v>
      </c>
      <c r="D22" s="3">
        <v>211</v>
      </c>
      <c r="E22" s="3">
        <v>73</v>
      </c>
      <c r="F22" s="4">
        <v>0.49912099999999998</v>
      </c>
      <c r="G22" s="4">
        <v>0.99529999999999996</v>
      </c>
      <c r="H22" s="4">
        <v>0.42630000000000001</v>
      </c>
    </row>
    <row r="23" spans="1:8" x14ac:dyDescent="0.3">
      <c r="A23" s="3">
        <v>97.75</v>
      </c>
      <c r="B23" s="3">
        <v>0</v>
      </c>
      <c r="C23" s="3">
        <v>307</v>
      </c>
      <c r="D23" s="3">
        <v>212</v>
      </c>
      <c r="E23" s="3">
        <v>50</v>
      </c>
      <c r="F23" s="4">
        <v>0.46045700000000001</v>
      </c>
      <c r="G23" s="4">
        <v>1</v>
      </c>
      <c r="H23" s="4">
        <v>0.40849999999999997</v>
      </c>
    </row>
    <row r="24" spans="1:8" x14ac:dyDescent="0.3">
      <c r="A24" s="3">
        <v>98</v>
      </c>
      <c r="B24" s="3">
        <v>0</v>
      </c>
      <c r="C24" s="3">
        <v>307</v>
      </c>
      <c r="D24" s="3">
        <v>212</v>
      </c>
      <c r="E24" s="3">
        <v>50</v>
      </c>
      <c r="F24" s="4">
        <v>0.46045700000000001</v>
      </c>
      <c r="G24" s="4">
        <v>1</v>
      </c>
      <c r="H24" s="4">
        <v>0.40849999999999997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92F9-A4AF-4D21-9D88-0A68DB02F1C3}">
  <dimension ref="A1:H24"/>
  <sheetViews>
    <sheetView zoomScaleNormal="100" workbookViewId="0">
      <selection activeCell="J10" sqref="J10"/>
    </sheetView>
  </sheetViews>
  <sheetFormatPr defaultColWidth="11.44140625" defaultRowHeight="14.4" x14ac:dyDescent="0.3"/>
  <cols>
    <col min="1" max="1" width="16.33203125" bestFit="1" customWidth="1"/>
    <col min="2" max="2" width="16" bestFit="1" customWidth="1"/>
    <col min="3" max="3" width="15.33203125" bestFit="1" customWidth="1"/>
    <col min="4" max="4" width="14.44140625" bestFit="1" customWidth="1"/>
    <col min="5" max="5" width="15.109375" bestFit="1" customWidth="1"/>
    <col min="6" max="6" width="11.44140625" bestFit="1" customWidth="1"/>
    <col min="7" max="7" width="8.6640625" bestFit="1" customWidth="1"/>
    <col min="8" max="8" width="11.44140625" bestFit="1" customWidth="1"/>
  </cols>
  <sheetData>
    <row r="1" spans="1:8" ht="15" thickBot="1" x14ac:dyDescent="0.35">
      <c r="A1" s="11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 spans="1:8" x14ac:dyDescent="0.3">
      <c r="A2" s="15">
        <v>1</v>
      </c>
      <c r="B2" s="16">
        <v>11</v>
      </c>
      <c r="C2" s="16">
        <v>5</v>
      </c>
      <c r="D2" s="16">
        <v>201</v>
      </c>
      <c r="E2" s="16">
        <v>352</v>
      </c>
      <c r="F2" s="17">
        <v>0.97187999999999997</v>
      </c>
      <c r="G2" s="17">
        <f>D2/(D2+B2)</f>
        <v>0.94811320754716977</v>
      </c>
      <c r="H2" s="18">
        <f t="shared" ref="H2:H17" si="0">D2/(D2+C2)</f>
        <v>0.97572815533980584</v>
      </c>
    </row>
    <row r="3" spans="1:8" x14ac:dyDescent="0.3">
      <c r="A3" s="19">
        <v>2</v>
      </c>
      <c r="B3" s="20">
        <v>6</v>
      </c>
      <c r="C3" s="20">
        <v>10</v>
      </c>
      <c r="D3" s="20">
        <v>206</v>
      </c>
      <c r="E3" s="20">
        <v>347</v>
      </c>
      <c r="F3" s="21">
        <v>0.97187999999999997</v>
      </c>
      <c r="G3" s="21">
        <f t="shared" ref="G3:G17" si="1">D3/(D3+B3)</f>
        <v>0.97169811320754718</v>
      </c>
      <c r="H3" s="22">
        <f t="shared" si="0"/>
        <v>0.95370370370370372</v>
      </c>
    </row>
    <row r="4" spans="1:8" x14ac:dyDescent="0.3">
      <c r="A4" s="15">
        <v>3</v>
      </c>
      <c r="B4" s="16">
        <v>6</v>
      </c>
      <c r="C4" s="16">
        <v>15</v>
      </c>
      <c r="D4" s="16">
        <v>206</v>
      </c>
      <c r="E4" s="16">
        <v>352</v>
      </c>
      <c r="F4" s="17">
        <v>0.96309299999999998</v>
      </c>
      <c r="G4" s="17">
        <f t="shared" si="1"/>
        <v>0.97169811320754718</v>
      </c>
      <c r="H4" s="18">
        <f t="shared" si="0"/>
        <v>0.9321266968325792</v>
      </c>
    </row>
    <row r="5" spans="1:8" x14ac:dyDescent="0.3">
      <c r="A5" s="19">
        <v>4</v>
      </c>
      <c r="B5" s="20">
        <v>5</v>
      </c>
      <c r="C5" s="20">
        <v>21</v>
      </c>
      <c r="D5" s="20">
        <v>207</v>
      </c>
      <c r="E5" s="20">
        <v>336</v>
      </c>
      <c r="F5" s="34">
        <v>0.95430599999999999</v>
      </c>
      <c r="G5" s="21">
        <f t="shared" si="1"/>
        <v>0.97641509433962259</v>
      </c>
      <c r="H5" s="22">
        <f t="shared" si="0"/>
        <v>0.90789473684210531</v>
      </c>
    </row>
    <row r="6" spans="1:8" x14ac:dyDescent="0.3">
      <c r="A6" s="15">
        <v>5</v>
      </c>
      <c r="B6" s="16">
        <v>6</v>
      </c>
      <c r="C6" s="16">
        <v>25</v>
      </c>
      <c r="D6" s="16">
        <v>206</v>
      </c>
      <c r="E6" s="16">
        <v>332</v>
      </c>
      <c r="F6" s="17">
        <v>0.94551799999999997</v>
      </c>
      <c r="G6" s="17">
        <f t="shared" si="1"/>
        <v>0.97169811320754718</v>
      </c>
      <c r="H6" s="18">
        <f t="shared" si="0"/>
        <v>0.89177489177489178</v>
      </c>
    </row>
    <row r="7" spans="1:8" x14ac:dyDescent="0.3">
      <c r="A7" s="19">
        <v>6</v>
      </c>
      <c r="B7" s="20">
        <v>6</v>
      </c>
      <c r="C7" s="20">
        <v>29</v>
      </c>
      <c r="D7" s="20">
        <v>206</v>
      </c>
      <c r="E7" s="20">
        <v>328</v>
      </c>
      <c r="F7" s="21">
        <v>0.93848900000000002</v>
      </c>
      <c r="G7" s="21">
        <f t="shared" si="1"/>
        <v>0.97169811320754718</v>
      </c>
      <c r="H7" s="22">
        <f t="shared" si="0"/>
        <v>0.87659574468085111</v>
      </c>
    </row>
    <row r="8" spans="1:8" x14ac:dyDescent="0.3">
      <c r="A8" s="15">
        <v>7</v>
      </c>
      <c r="B8" s="16">
        <v>5</v>
      </c>
      <c r="C8" s="16">
        <v>33</v>
      </c>
      <c r="D8" s="16">
        <v>207</v>
      </c>
      <c r="E8" s="16">
        <v>324</v>
      </c>
      <c r="F8" s="17">
        <v>0.93321600000000005</v>
      </c>
      <c r="G8" s="17">
        <f t="shared" si="1"/>
        <v>0.97641509433962259</v>
      </c>
      <c r="H8" s="18">
        <f t="shared" si="0"/>
        <v>0.86250000000000004</v>
      </c>
    </row>
    <row r="9" spans="1:8" x14ac:dyDescent="0.3">
      <c r="A9" s="19">
        <v>8</v>
      </c>
      <c r="B9" s="20">
        <v>6</v>
      </c>
      <c r="C9" s="20">
        <v>29</v>
      </c>
      <c r="D9" s="20">
        <v>206</v>
      </c>
      <c r="E9" s="20">
        <v>328</v>
      </c>
      <c r="F9" s="21">
        <v>0.93848900000000002</v>
      </c>
      <c r="G9" s="21">
        <f t="shared" si="1"/>
        <v>0.97169811320754718</v>
      </c>
      <c r="H9" s="22">
        <f t="shared" si="0"/>
        <v>0.87659574468085111</v>
      </c>
    </row>
    <row r="10" spans="1:8" x14ac:dyDescent="0.3">
      <c r="A10" s="15">
        <v>9</v>
      </c>
      <c r="B10" s="16">
        <v>4</v>
      </c>
      <c r="C10" s="16">
        <v>29</v>
      </c>
      <c r="D10" s="16">
        <v>208</v>
      </c>
      <c r="E10" s="16">
        <v>328</v>
      </c>
      <c r="F10" s="17">
        <v>0.94200399999999995</v>
      </c>
      <c r="G10" s="17">
        <f t="shared" si="1"/>
        <v>0.98113207547169812</v>
      </c>
      <c r="H10" s="18">
        <f t="shared" si="0"/>
        <v>0.87763713080168781</v>
      </c>
    </row>
    <row r="11" spans="1:8" x14ac:dyDescent="0.3">
      <c r="A11" s="25">
        <v>10</v>
      </c>
      <c r="B11" s="31">
        <v>4</v>
      </c>
      <c r="C11" s="31">
        <v>34</v>
      </c>
      <c r="D11" s="31">
        <v>208</v>
      </c>
      <c r="E11" s="31">
        <v>323</v>
      </c>
      <c r="F11" s="32">
        <v>0.93321600000000005</v>
      </c>
      <c r="G11" s="32">
        <f t="shared" si="1"/>
        <v>0.98113207547169812</v>
      </c>
      <c r="H11" s="33">
        <f t="shared" si="0"/>
        <v>0.85950413223140498</v>
      </c>
    </row>
    <row r="12" spans="1:8" x14ac:dyDescent="0.3">
      <c r="A12" s="15">
        <v>11</v>
      </c>
      <c r="B12" s="16">
        <v>4</v>
      </c>
      <c r="C12" s="16">
        <v>36</v>
      </c>
      <c r="D12" s="16">
        <v>208</v>
      </c>
      <c r="E12" s="16">
        <v>321</v>
      </c>
      <c r="F12" s="17">
        <v>0.929701</v>
      </c>
      <c r="G12" s="17">
        <f t="shared" si="1"/>
        <v>0.98113207547169812</v>
      </c>
      <c r="H12" s="18">
        <f t="shared" si="0"/>
        <v>0.85245901639344257</v>
      </c>
    </row>
    <row r="13" spans="1:8" x14ac:dyDescent="0.3">
      <c r="A13" s="19">
        <v>12</v>
      </c>
      <c r="B13" s="20">
        <v>3</v>
      </c>
      <c r="C13" s="20">
        <v>41</v>
      </c>
      <c r="D13" s="20">
        <v>209</v>
      </c>
      <c r="E13" s="20">
        <v>316</v>
      </c>
      <c r="F13" s="21">
        <v>0.92267100000000002</v>
      </c>
      <c r="G13" s="21">
        <f t="shared" si="1"/>
        <v>0.98584905660377353</v>
      </c>
      <c r="H13" s="22">
        <f t="shared" si="0"/>
        <v>0.83599999999999997</v>
      </c>
    </row>
    <row r="14" spans="1:8" x14ac:dyDescent="0.3">
      <c r="A14" s="15">
        <v>13</v>
      </c>
      <c r="B14" s="16">
        <v>2</v>
      </c>
      <c r="C14" s="16">
        <v>41</v>
      </c>
      <c r="D14" s="16">
        <v>210</v>
      </c>
      <c r="E14" s="16">
        <v>316</v>
      </c>
      <c r="F14" s="17">
        <v>0.92442899999999995</v>
      </c>
      <c r="G14" s="17">
        <f t="shared" si="1"/>
        <v>0.99056603773584906</v>
      </c>
      <c r="H14" s="18">
        <f t="shared" si="0"/>
        <v>0.8366533864541833</v>
      </c>
    </row>
    <row r="15" spans="1:8" x14ac:dyDescent="0.3">
      <c r="A15" s="19">
        <v>14</v>
      </c>
      <c r="B15" s="20">
        <v>1</v>
      </c>
      <c r="C15" s="20">
        <v>46</v>
      </c>
      <c r="D15" s="20">
        <v>211</v>
      </c>
      <c r="E15" s="20">
        <v>311</v>
      </c>
      <c r="F15" s="21">
        <v>0.91739899999999996</v>
      </c>
      <c r="G15" s="21">
        <f t="shared" si="1"/>
        <v>0.99528301886792447</v>
      </c>
      <c r="H15" s="22">
        <f t="shared" si="0"/>
        <v>0.82101167315175094</v>
      </c>
    </row>
    <row r="16" spans="1:8" x14ac:dyDescent="0.3">
      <c r="A16" s="15">
        <v>15</v>
      </c>
      <c r="B16" s="16">
        <v>1</v>
      </c>
      <c r="C16" s="16">
        <v>52</v>
      </c>
      <c r="D16" s="16">
        <v>211</v>
      </c>
      <c r="E16" s="16">
        <v>305</v>
      </c>
      <c r="F16" s="17">
        <v>0.90685400000000005</v>
      </c>
      <c r="G16" s="17">
        <f t="shared" si="1"/>
        <v>0.99528301886792447</v>
      </c>
      <c r="H16" s="18">
        <f t="shared" si="0"/>
        <v>0.80228136882129275</v>
      </c>
    </row>
    <row r="17" spans="1:8" x14ac:dyDescent="0.3">
      <c r="A17" s="19">
        <v>20</v>
      </c>
      <c r="B17" s="20">
        <v>3</v>
      </c>
      <c r="C17" s="20">
        <v>51</v>
      </c>
      <c r="D17" s="20">
        <v>209</v>
      </c>
      <c r="E17" s="20">
        <v>306</v>
      </c>
      <c r="F17" s="21">
        <v>0.90509700000000004</v>
      </c>
      <c r="G17" s="21">
        <f t="shared" si="1"/>
        <v>0.98584905660377353</v>
      </c>
      <c r="H17" s="22">
        <f t="shared" si="0"/>
        <v>0.80384615384615388</v>
      </c>
    </row>
    <row r="18" spans="1:8" x14ac:dyDescent="0.3">
      <c r="A18" s="15">
        <v>110</v>
      </c>
      <c r="B18" s="16">
        <v>1</v>
      </c>
      <c r="C18" s="16">
        <v>168</v>
      </c>
      <c r="D18" s="16">
        <v>211</v>
      </c>
      <c r="E18" s="16">
        <v>189</v>
      </c>
      <c r="F18" s="17">
        <v>0.70298799999999995</v>
      </c>
      <c r="G18" s="17">
        <f t="shared" ref="G18:G24" si="2">D18/(D18+B18)</f>
        <v>0.99528301886792447</v>
      </c>
      <c r="H18" s="18">
        <f t="shared" ref="H18:H24" si="3">D18/(D18+C18)</f>
        <v>0.55672823218997358</v>
      </c>
    </row>
    <row r="19" spans="1:8" x14ac:dyDescent="0.3">
      <c r="A19" s="19">
        <v>111</v>
      </c>
      <c r="B19" s="20">
        <v>1</v>
      </c>
      <c r="C19" s="20">
        <v>167</v>
      </c>
      <c r="D19" s="20">
        <v>211</v>
      </c>
      <c r="E19" s="20">
        <v>190</v>
      </c>
      <c r="F19" s="21">
        <v>0.70474499999999995</v>
      </c>
      <c r="G19" s="21">
        <f t="shared" si="2"/>
        <v>0.99528301886792447</v>
      </c>
      <c r="H19" s="22">
        <f t="shared" si="3"/>
        <v>0.55820105820105825</v>
      </c>
    </row>
    <row r="20" spans="1:8" x14ac:dyDescent="0.3">
      <c r="A20" s="15">
        <v>112</v>
      </c>
      <c r="B20" s="16">
        <v>1</v>
      </c>
      <c r="C20" s="16">
        <v>183</v>
      </c>
      <c r="D20" s="16">
        <v>211</v>
      </c>
      <c r="E20" s="16">
        <v>174</v>
      </c>
      <c r="F20" s="17">
        <v>0.67662599999999995</v>
      </c>
      <c r="G20" s="17">
        <f t="shared" si="2"/>
        <v>0.99528301886792447</v>
      </c>
      <c r="H20" s="18">
        <f t="shared" si="3"/>
        <v>0.53553299492385786</v>
      </c>
    </row>
    <row r="21" spans="1:8" x14ac:dyDescent="0.3">
      <c r="A21" s="19">
        <v>113</v>
      </c>
      <c r="B21" s="20">
        <v>1</v>
      </c>
      <c r="C21" s="20">
        <v>170</v>
      </c>
      <c r="D21" s="20">
        <v>211</v>
      </c>
      <c r="E21" s="20">
        <v>187</v>
      </c>
      <c r="F21" s="34">
        <v>0.69947300000000001</v>
      </c>
      <c r="G21" s="21">
        <f t="shared" si="2"/>
        <v>0.99528301886792447</v>
      </c>
      <c r="H21" s="22">
        <f t="shared" si="3"/>
        <v>0.5538057742782152</v>
      </c>
    </row>
    <row r="22" spans="1:8" x14ac:dyDescent="0.3">
      <c r="A22" s="15">
        <v>114</v>
      </c>
      <c r="B22" s="16">
        <v>1</v>
      </c>
      <c r="C22" s="16">
        <v>170</v>
      </c>
      <c r="D22" s="16">
        <v>211</v>
      </c>
      <c r="E22" s="16">
        <v>187</v>
      </c>
      <c r="F22" s="17">
        <v>0.69947300000000001</v>
      </c>
      <c r="G22" s="17">
        <f t="shared" si="2"/>
        <v>0.99528301886792447</v>
      </c>
      <c r="H22" s="18">
        <f t="shared" si="3"/>
        <v>0.5538057742782152</v>
      </c>
    </row>
    <row r="23" spans="1:8" x14ac:dyDescent="0.3">
      <c r="A23" s="19">
        <v>115</v>
      </c>
      <c r="B23" s="20">
        <v>1</v>
      </c>
      <c r="C23" s="20">
        <v>172</v>
      </c>
      <c r="D23" s="20">
        <v>211</v>
      </c>
      <c r="E23" s="20">
        <v>185</v>
      </c>
      <c r="F23" s="21">
        <v>0.69595799999999997</v>
      </c>
      <c r="G23" s="21">
        <f t="shared" si="2"/>
        <v>0.99528301886792447</v>
      </c>
      <c r="H23" s="22">
        <f t="shared" si="3"/>
        <v>0.55091383812010442</v>
      </c>
    </row>
    <row r="24" spans="1:8" x14ac:dyDescent="0.3">
      <c r="A24" s="15">
        <v>116</v>
      </c>
      <c r="B24" s="16">
        <v>0</v>
      </c>
      <c r="C24" s="16">
        <v>191</v>
      </c>
      <c r="D24" s="16">
        <v>212</v>
      </c>
      <c r="E24" s="16">
        <v>166</v>
      </c>
      <c r="F24" s="17">
        <v>0.664323</v>
      </c>
      <c r="G24" s="17">
        <f t="shared" si="2"/>
        <v>1</v>
      </c>
      <c r="H24" s="18">
        <f t="shared" si="3"/>
        <v>0.52605459057071957</v>
      </c>
    </row>
  </sheetData>
  <autoFilter ref="A1:H1" xr:uid="{AB5892F9-A4AF-4D21-9D88-0A68DB02F1C3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Random Forest</vt:lpstr>
      <vt:lpstr>J48</vt:lpstr>
      <vt:lpstr>Naive Bayes</vt:lpstr>
      <vt:lpstr>Bayes Networks</vt:lpstr>
      <vt:lpstr>OneR</vt:lpstr>
      <vt:lpstr>Functions Logistics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Marek Hass</dc:creator>
  <cp:keywords/>
  <dc:description/>
  <cp:lastModifiedBy>Lena Gelewski</cp:lastModifiedBy>
  <cp:revision/>
  <dcterms:created xsi:type="dcterms:W3CDTF">2025-12-14T16:37:01Z</dcterms:created>
  <dcterms:modified xsi:type="dcterms:W3CDTF">2026-01-08T12:51:21Z</dcterms:modified>
  <cp:category/>
  <cp:contentStatus/>
</cp:coreProperties>
</file>